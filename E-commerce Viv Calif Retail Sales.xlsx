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41bbf9f71569701b/Documents/"/>
    </mc:Choice>
  </mc:AlternateContent>
  <xr:revisionPtr revIDLastSave="131" documentId="14_{BB2FC930-0E88-4233-9A7E-ADB55FC17F39}" xr6:coauthVersionLast="47" xr6:coauthVersionMax="47" xr10:uidLastSave="{AA16FD19-3AA0-4ECB-AC59-E1560443EF0F}"/>
  <bookViews>
    <workbookView xWindow="-110" yWindow="-110" windowWidth="19420" windowHeight="10300" xr2:uid="{346724B3-1C49-40AE-AA36-C77CF5D6DD09}"/>
  </bookViews>
  <sheets>
    <sheet name="Dashboard" sheetId="3" r:id="rId1"/>
    <sheet name="Gender Matrix" sheetId="7" r:id="rId2"/>
    <sheet name="Pivots" sheetId="5" r:id="rId3"/>
    <sheet name="Data" sheetId="1" r:id="rId4"/>
    <sheet name="Questions &amp; KPIs" sheetId="2" r:id="rId5"/>
  </sheets>
  <definedNames>
    <definedName name="_xlchart.v5.0" hidden="1">Pivots!$P$36:$Q$36</definedName>
    <definedName name="_xlchart.v5.1" hidden="1">Pivots!$P$37:$Q$94</definedName>
    <definedName name="_xlchart.v5.10" hidden="1">Pivots!$V$36</definedName>
    <definedName name="_xlchart.v5.11" hidden="1">Pivots!$V$37:$V$94</definedName>
    <definedName name="_xlchart.v5.2" hidden="1">Pivots!$R$36</definedName>
    <definedName name="_xlchart.v5.3" hidden="1">Pivots!$R$37:$R$94</definedName>
    <definedName name="_xlchart.v5.4" hidden="1">Pivots!$T$36:$U$36</definedName>
    <definedName name="_xlchart.v5.5" hidden="1">Pivots!$T$37:$U$94</definedName>
    <definedName name="_xlchart.v5.6" hidden="1">Pivots!$V$36</definedName>
    <definedName name="_xlchart.v5.7" hidden="1">Pivots!$V$37:$V$94</definedName>
    <definedName name="_xlchart.v5.8" hidden="1">Pivots!$T$36:$U$36</definedName>
    <definedName name="_xlchart.v5.9" hidden="1">Pivots!$T$37:$U$94</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5" l="1"/>
  <c r="H4" i="5"/>
  <c r="I4" i="5"/>
  <c r="J4" i="5"/>
  <c r="K4" i="5"/>
  <c r="L9" i="7"/>
  <c r="K9" i="7"/>
  <c r="J9" i="7"/>
  <c r="I9" i="7"/>
  <c r="H9" i="7"/>
  <c r="L8" i="7"/>
  <c r="K8" i="7"/>
  <c r="J8" i="7"/>
  <c r="I8" i="7"/>
  <c r="H8" i="7"/>
  <c r="L7" i="7"/>
  <c r="K7" i="7"/>
  <c r="J7" i="7"/>
  <c r="I7" i="7"/>
  <c r="H7" i="7"/>
  <c r="L6" i="7"/>
  <c r="K6" i="7"/>
  <c r="J6" i="7"/>
  <c r="I6" i="7"/>
  <c r="H6" i="7"/>
  <c r="L5" i="7"/>
  <c r="K5" i="7"/>
  <c r="J5" i="7"/>
  <c r="I5" i="7"/>
  <c r="H5" i="7"/>
  <c r="L4" i="7"/>
  <c r="K4" i="7"/>
  <c r="J4" i="7"/>
  <c r="I4" i="7"/>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<sst xmlns="http://schemas.openxmlformats.org/spreadsheetml/2006/main" count="14875" uniqueCount="2547">
  <si>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</si>
  <si>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</si>
  <si>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</si>
  <si>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</si>
  <si>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</si>
  <si>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</si>
  <si>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</si>
  <si>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</si>
  <si>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</si>
  <si>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</si>
  <si>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</si>
  <si>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</si>
  <si>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</si>
  <si>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</si>
  <si>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</si>
  <si>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</si>
  <si>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</si>
  <si>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</si>
  <si>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</si>
  <si>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</si>
  <si>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</si>
  <si>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</si>
  <si>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</si>
  <si>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</si>
  <si>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</si>
  <si>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</si>
  <si>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</si>
  <si>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</si>
  <si>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</si>
  <si>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</si>
  <si>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</si>
  <si>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</si>
  <si>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</si>
  <si>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</si>
  <si>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</si>
  <si>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</si>
  <si>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</si>
  <si>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</si>
  <si>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</si>
  <si>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</si>
  <si>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</si>
  <si>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</si>
  <si>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</si>
  <si>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</si>
  <si>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</si>
  <si>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</si>
  <si>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</si>
  <si>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</si>
  <si>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</si>
  <si>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</si>
  <si>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</si>
  <si>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</si>
  <si>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</si>
  <si>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</si>
  <si>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</si>
  <si>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</si>
  <si>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</si>
  <si>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</si>
  <si>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</si>
  <si>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</si>
  <si>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</si>
  <si>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</si>
  <si>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</si>
  <si>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</si>
  <si>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</si>
  <si>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</si>
  <si>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</si>
  <si>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</si>
  <si>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</si>
  <si>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</si>
  <si>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</si>
  <si>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</si>
  <si>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</si>
  <si>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</si>
  <si>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</si>
  <si>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</si>
  <si>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</si>
  <si>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</si>
  <si>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</si>
  <si>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</si>
  <si>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</si>
  <si>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</si>
  <si>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</si>
  <si>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</si>
  <si>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</si>
  <si>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</si>
  <si>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</si>
  <si>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</si>
  <si>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</si>
  <si>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</si>
  <si>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</si>
  <si>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</si>
  <si>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</si>
  <si>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</si>
  <si>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</si>
  <si>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</si>
  <si>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</si>
  <si>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</si>
  <si>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</si>
  <si>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</si>
  <si>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</si>
  <si>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</si>
  <si>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</si>
  <si>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</si>
  <si>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</si>
  <si>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</si>
  <si>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</si>
  <si>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</si>
  <si>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</si>
  <si>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</si>
  <si>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</si>
  <si>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</si>
  <si>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</si>
  <si>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</si>
  <si>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</si>
  <si>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</si>
  <si>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</si>
  <si>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</si>
  <si>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</si>
  <si>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</si>
  <si>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</si>
  <si>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</si>
  <si>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</si>
  <si>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</si>
  <si>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</si>
  <si>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</si>
  <si>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</si>
  <si>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</si>
  <si>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</si>
  <si>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</si>
  <si>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</si>
  <si>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</si>
  <si>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</si>
  <si>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</si>
  <si>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</si>
  <si>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</si>
  <si>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</si>
  <si>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</si>
  <si>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</si>
  <si>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</si>
  <si>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</si>
  <si>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</si>
  <si>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</si>
  <si>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</si>
  <si>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</si>
  <si>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</si>
  <si>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</si>
  <si>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</si>
  <si>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</si>
  <si>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</si>
  <si>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</si>
  <si>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</si>
  <si>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</si>
  <si>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</si>
  <si>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</si>
  <si>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</si>
  <si>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</si>
  <si>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</si>
  <si>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</si>
  <si>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</si>
  <si>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</si>
  <si>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</si>
  <si>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</si>
  <si>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</si>
  <si>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</si>
  <si>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</si>
  <si>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</si>
  <si>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</si>
  <si>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</si>
  <si>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</si>
  <si>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</si>
  <si>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</si>
  <si>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</si>
  <si>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</si>
  <si>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</si>
  <si>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</si>
  <si>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</si>
  <si>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</si>
  <si>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</si>
  <si>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</si>
  <si>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</si>
  <si>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</si>
  <si>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</si>
  <si>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</si>
  <si>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</si>
  <si>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</si>
  <si>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</si>
  <si>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</si>
  <si>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</si>
  <si>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</si>
  <si>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</si>
  <si>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</si>
  <si>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</si>
  <si>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</si>
  <si>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</si>
  <si>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</si>
  <si>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</si>
  <si>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</si>
  <si>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</si>
  <si>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</si>
  <si>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</si>
  <si>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</si>
  <si>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</si>
  <si>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</si>
  <si>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</si>
  <si>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</si>
  <si>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</si>
  <si>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</si>
  <si>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</si>
  <si>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</si>
  <si>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</si>
  <si>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</si>
  <si>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</si>
  <si>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</si>
  <si>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</si>
  <si>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</si>
  <si>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</si>
  <si>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</si>
  <si>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</si>
  <si>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</si>
  <si>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</si>
  <si>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</si>
  <si>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</si>
  <si>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</si>
  <si>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</si>
  <si>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</si>
  <si>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</si>
  <si>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</si>
  <si>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</si>
  <si>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</si>
  <si>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</si>
  <si>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</si>
  <si>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</si>
  <si>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</si>
  <si>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</si>
  <si>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</si>
  <si>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</si>
  <si>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</si>
  <si>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</si>
  <si>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</si>
  <si>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</si>
  <si>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</si>
  <si>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</si>
  <si>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</si>
  <si>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</si>
  <si>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</si>
  <si>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</si>
  <si>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</si>
  <si>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</si>
  <si>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</si>
  <si>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</si>
  <si>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</si>
  <si>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</si>
  <si>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</si>
  <si>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</si>
  <si>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</si>
  <si>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</si>
  <si>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</si>
  <si>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</si>
  <si>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</si>
  <si>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</si>
  <si>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</si>
  <si>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</si>
  <si>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</si>
  <si>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</si>
  <si>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</si>
  <si>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</si>
  <si>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</si>
  <si>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</si>
  <si>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</si>
  <si>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</si>
  <si>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</si>
  <si>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</si>
  <si>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</si>
  <si>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</si>
  <si>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</si>
  <si>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</si>
  <si>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</si>
  <si>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</si>
  <si>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</si>
  <si>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</si>
  <si>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</si>
  <si>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</si>
  <si>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</si>
  <si>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</si>
  <si>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</si>
  <si>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</si>
  <si>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</si>
  <si>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</si>
  <si>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</si>
  <si>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</si>
  <si>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</si>
  <si>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</si>
  <si>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</si>
  <si>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</si>
  <si>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</si>
  <si>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</si>
  <si>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</si>
  <si>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</si>
  <si>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</si>
  <si>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</si>
  <si>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</si>
  <si>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</si>
  <si>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</si>
  <si>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</si>
  <si>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</si>
  <si>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</si>
  <si>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</si>
  <si>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</si>
  <si>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</si>
  <si>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</si>
  <si>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</si>
  <si>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</si>
  <si>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</si>
  <si>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</si>
  <si>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</si>
  <si>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</si>
  <si>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</si>
  <si>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</si>
  <si>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</si>
  <si>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</si>
  <si>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</si>
  <si>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</si>
  <si>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</si>
  <si>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</si>
  <si>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</si>
  <si>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</si>
  <si>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</si>
  <si>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</si>
  <si>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</si>
  <si>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</si>
  <si>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</si>
  <si>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</si>
  <si>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</si>
  <si>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</si>
  <si>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</si>
  <si>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</si>
  <si>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</si>
  <si>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</si>
  <si>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</si>
  <si>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</si>
  <si>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</si>
  <si>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</si>
  <si>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</si>
  <si>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</si>
  <si>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</si>
  <si>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</si>
  <si>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</si>
  <si>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</si>
  <si>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</si>
  <si>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</si>
  <si>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</si>
  <si>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</si>
  <si>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</si>
  <si>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</si>
  <si>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</si>
  <si>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</si>
  <si>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</si>
  <si>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</si>
  <si>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</si>
  <si>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</si>
  <si>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</si>
  <si>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</si>
  <si>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</si>
  <si>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</si>
  <si>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</si>
  <si>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</si>
  <si>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</si>
  <si>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</si>
  <si>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</si>
  <si>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</si>
  <si>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</si>
  <si>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</si>
  <si>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</si>
  <si>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</si>
  <si>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</si>
  <si>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</si>
  <si>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</si>
  <si>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</si>
  <si>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</si>
  <si>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</si>
  <si>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</si>
  <si>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</si>
  <si>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</si>
  <si>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</si>
  <si>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</si>
  <si>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</si>
  <si>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</si>
  <si>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</si>
  <si>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</si>
  <si>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</si>
  <si>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</si>
  <si>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</si>
  <si>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</si>
  <si>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</si>
  <si>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</si>
  <si>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</si>
  <si>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</si>
  <si>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</si>
  <si>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</si>
  <si>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</si>
  <si>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</si>
  <si>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</si>
  <si>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</si>
  <si>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</si>
  <si>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</si>
  <si>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</si>
  <si>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</si>
  <si>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</si>
  <si>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</si>
  <si>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</si>
  <si>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</si>
  <si>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</si>
  <si>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</si>
  <si>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</si>
  <si>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</si>
  <si>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</si>
  <si>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</si>
  <si>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</si>
  <si>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</si>
  <si>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</si>
  <si>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</si>
  <si>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</si>
  <si>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</si>
  <si>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</si>
  <si>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</si>
  <si>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</si>
  <si>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</si>
  <si>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</si>
  <si>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</si>
  <si>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</si>
  <si>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</si>
  <si>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</si>
  <si>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</si>
  <si>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</si>
  <si>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</si>
  <si>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</si>
  <si>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</si>
  <si>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</si>
  <si>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</si>
  <si>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</si>
  <si>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</si>
  <si>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</si>
  <si>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</si>
  <si>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</si>
  <si>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</si>
  <si>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</si>
  <si>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</si>
  <si>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</si>
  <si>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</si>
  <si>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</si>
  <si>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</si>
  <si>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</si>
  <si>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</si>
  <si>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</si>
  <si>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</si>
  <si>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</si>
  <si>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</si>
  <si>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</si>
  <si>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</si>
  <si>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</si>
  <si>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</si>
  <si>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</si>
  <si>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</si>
  <si>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</si>
  <si>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</si>
  <si>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</si>
  <si>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</si>
  <si>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</si>
  <si>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</si>
  <si>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</si>
  <si>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</si>
  <si>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</si>
  <si>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</si>
  <si>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</si>
  <si>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</si>
  <si>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</si>
  <si>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</si>
  <si>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</si>
  <si>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</si>
  <si>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</si>
  <si>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</si>
  <si>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</si>
  <si>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</si>
  <si>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</si>
  <si>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</si>
  <si>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</si>
  <si>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</si>
  <si>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</si>
  <si>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</si>
  <si>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</si>
  <si>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</si>
  <si>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</si>
  <si>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</si>
  <si>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</si>
  <si>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</si>
  <si>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</si>
  <si>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</si>
  <si>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</si>
  <si>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</si>
  <si>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</si>
  <si>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</si>
  <si>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</si>
  <si>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</si>
  <si>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</si>
  <si>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</si>
  <si>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</si>
  <si>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</si>
  <si>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</si>
  <si>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</si>
  <si>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</si>
  <si>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</si>
  <si>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</si>
  <si>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</si>
  <si>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</si>
  <si>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</si>
  <si>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</si>
  <si>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</si>
  <si>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</si>
  <si>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</si>
  <si>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</si>
  <si>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</si>
  <si>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</si>
  <si>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</si>
  <si>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</si>
  <si>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</si>
  <si>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</si>
  <si>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</si>
  <si>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</si>
  <si>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</si>
  <si>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</si>
  <si>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</si>
  <si>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</si>
  <si>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</si>
  <si>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</si>
  <si>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</si>
  <si>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</si>
  <si>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</si>
  <si>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</si>
  <si>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</si>
  <si>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</si>
  <si>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</si>
  <si>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</si>
  <si>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</si>
  <si>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</si>
  <si>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</si>
  <si>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</si>
  <si>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</si>
  <si>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</si>
  <si>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</si>
  <si>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</si>
  <si>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</si>
  <si>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</si>
  <si>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</si>
  <si>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</si>
  <si>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</si>
  <si>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</si>
  <si>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</si>
  <si>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</si>
  <si>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</si>
  <si>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</si>
  <si>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</si>
  <si>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</si>
  <si>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</si>
  <si>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</si>
  <si>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</si>
  <si>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</si>
  <si>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</si>
  <si>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</si>
  <si>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</si>
  <si>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</si>
  <si>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</si>
  <si>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</si>
  <si>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</si>
  <si>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</si>
  <si>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</si>
  <si>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</si>
  <si>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</si>
  <si>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</si>
  <si>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</si>
  <si>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</si>
  <si>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</si>
  <si>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</si>
  <si>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</si>
  <si>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</si>
  <si>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</si>
  <si>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</si>
  <si>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</si>
  <si>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</si>
  <si>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</si>
  <si>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</si>
  <si>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</si>
  <si>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</si>
  <si>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</si>
  <si>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</si>
  <si>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</si>
  <si>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</si>
  <si>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</si>
  <si>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</si>
  <si>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</si>
  <si>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</si>
  <si>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</si>
  <si>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</si>
  <si>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</si>
  <si>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</si>
  <si>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</si>
  <si>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</si>
  <si>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</si>
  <si>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</si>
  <si>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</si>
  <si>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</si>
  <si>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</si>
  <si>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</si>
  <si>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</si>
  <si>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</si>
  <si>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</si>
  <si>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</si>
  <si>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</si>
  <si>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</si>
  <si>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</si>
  <si>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</si>
  <si>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</si>
  <si>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</si>
  <si>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</si>
  <si>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</si>
  <si>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</si>
  <si>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</si>
  <si>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</si>
  <si>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</si>
  <si>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</si>
  <si>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</si>
  <si>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</si>
  <si>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</si>
  <si>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</si>
  <si>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</si>
  <si>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</si>
  <si>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</si>
  <si>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</si>
  <si>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</si>
  <si>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</si>
  <si>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</si>
  <si>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</si>
  <si>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</si>
  <si>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</si>
  <si>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</si>
  <si>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</si>
  <si>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</si>
  <si>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</si>
  <si>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</si>
  <si>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</si>
  <si>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</si>
  <si>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</si>
  <si>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</si>
  <si>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</si>
  <si>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</si>
  <si>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</si>
  <si>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</si>
  <si>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</si>
  <si>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</si>
  <si>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</si>
  <si>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</si>
  <si>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</si>
  <si>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</si>
  <si>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</si>
  <si>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</si>
  <si>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</si>
  <si>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</si>
  <si>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</si>
  <si>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</si>
  <si>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</si>
  <si>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</si>
  <si>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</si>
  <si>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</si>
  <si>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</si>
  <si>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</si>
  <si>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</si>
  <si>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</si>
  <si>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</si>
  <si>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</si>
  <si>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</si>
  <si>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</si>
  <si>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</si>
  <si>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</si>
  <si>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</si>
  <si>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</si>
  <si>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</si>
  <si>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</si>
  <si>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</si>
  <si>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</si>
  <si>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</si>
  <si>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</si>
  <si>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</si>
  <si>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</si>
  <si>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</si>
  <si>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</si>
  <si>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</si>
  <si>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</si>
  <si>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</si>
  <si>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</si>
  <si>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</si>
  <si>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</si>
  <si>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</si>
  <si>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</si>
  <si>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</si>
  <si>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</si>
  <si>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</si>
  <si>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</si>
  <si>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</si>
  <si>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</si>
  <si>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</si>
  <si>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</si>
  <si>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</si>
  <si>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</si>
  <si>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</si>
  <si>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</si>
  <si>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</si>
  <si>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</si>
  <si>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</si>
  <si>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</si>
  <si>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</si>
  <si>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</si>
  <si>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</si>
  <si>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</si>
  <si>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</si>
  <si>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</si>
  <si>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</si>
  <si>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</si>
  <si>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</si>
  <si>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</si>
  <si>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</si>
  <si>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</si>
  <si>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</si>
  <si>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</si>
  <si>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</si>
  <si>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</si>
  <si>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</si>
  <si>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</si>
  <si>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</si>
  <si>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</si>
  <si>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</si>
  <si>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</si>
  <si>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</si>
  <si>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</si>
  <si>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</si>
  <si>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</si>
  <si>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</si>
  <si>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</si>
  <si>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</si>
  <si>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</si>
  <si>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</si>
  <si>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</si>
  <si>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</si>
  <si>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</si>
  <si>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</si>
  <si>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</si>
  <si>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</si>
  <si>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</si>
  <si>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</si>
  <si>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</si>
  <si>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</si>
  <si>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</si>
  <si>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</si>
  <si>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</si>
  <si>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</si>
  <si>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</si>
  <si>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</si>
  <si>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</si>
  <si>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</si>
  <si>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</si>
  <si>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</si>
  <si>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</si>
  <si>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</si>
  <si>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</si>
  <si>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</si>
  <si>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</si>
  <si>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</si>
  <si>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</si>
  <si>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</si>
  <si>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</si>
  <si>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</si>
  <si>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</si>
  <si>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</si>
  <si>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</si>
  <si>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</si>
  <si>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</si>
  <si>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</si>
  <si>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</si>
  <si>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</si>
  <si>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</si>
  <si>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</si>
  <si>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</si>
  <si>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</si>
  <si>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</si>
  <si>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</si>
  <si>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</si>
  <si>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</si>
  <si>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</si>
  <si>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</si>
  <si>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</si>
  <si>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</si>
  <si>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</si>
  <si>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</si>
  <si>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</si>
  <si>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</si>
  <si>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</si>
  <si>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</si>
  <si>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</si>
  <si>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</si>
  <si>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</si>
  <si>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</si>
  <si>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</si>
  <si>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</si>
  <si>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</si>
  <si>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</si>
  <si>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</si>
  <si>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</si>
  <si>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</si>
  <si>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</si>
  <si>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</si>
  <si>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</si>
  <si>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</si>
  <si>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</si>
  <si>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</si>
  <si>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</si>
  <si>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</si>
  <si>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</si>
  <si>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</si>
  <si>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</si>
  <si>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</si>
  <si>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</si>
  <si>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</si>
  <si>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</si>
  <si>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</si>
  <si>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</si>
  <si>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</si>
  <si>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</si>
  <si>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</si>
  <si>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</si>
  <si>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</si>
  <si>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</si>
  <si>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</si>
  <si>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</si>
  <si>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</si>
  <si>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</si>
  <si>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</si>
  <si>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</si>
  <si>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</si>
  <si>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</si>
  <si>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</si>
  <si>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</si>
  <si>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</si>
  <si>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</si>
  <si>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</si>
  <si>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</si>
  <si>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</si>
  <si>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</si>
  <si>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</si>
  <si>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</si>
  <si>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</si>
  <si>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</si>
  <si>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</si>
  <si>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</si>
  <si>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</si>
  <si>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</si>
  <si>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</si>
  <si>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</si>
  <si>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</si>
  <si>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</si>
  <si>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</si>
  <si>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</si>
  <si>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</si>
  <si>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</si>
  <si>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</si>
  <si>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</si>
  <si>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</si>
  <si>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</si>
  <si>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</si>
  <si>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</si>
  <si>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</si>
  <si>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</si>
  <si>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</si>
  <si>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</si>
  <si>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</si>
  <si>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</si>
  <si>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</si>
  <si>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</si>
  <si>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</si>
  <si>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</si>
  <si>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</si>
  <si>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</si>
  <si>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</si>
  <si>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</si>
  <si>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</si>
  <si>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</si>
  <si>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</si>
  <si>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</si>
  <si>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</si>
  <si>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</si>
  <si>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</si>
  <si>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</si>
  <si>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</si>
  <si>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</si>
  <si>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</si>
  <si>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</si>
  <si>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</si>
  <si>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</si>
  <si>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</si>
  <si>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</si>
  <si>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</si>
  <si>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</si>
  <si>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</si>
  <si>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</si>
  <si>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</si>
  <si>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</si>
  <si>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</si>
  <si>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</si>
  <si>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</si>
  <si>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</si>
  <si>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</si>
  <si>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</si>
  <si>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</si>
  <si>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</si>
  <si>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</si>
  <si>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</si>
  <si>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</si>
  <si>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</si>
  <si>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</si>
  <si>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</si>
  <si>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</si>
  <si>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</si>
  <si>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</si>
  <si>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</si>
  <si>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</si>
  <si>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</si>
  <si>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</si>
  <si>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</si>
  <si>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</si>
  <si>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</si>
  <si>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</si>
  <si>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</si>
  <si>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</si>
  <si>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</si>
  <si>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</si>
  <si>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</si>
  <si>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</si>
  <si>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</si>
  <si>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</si>
  <si>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</si>
  <si>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</si>
  <si>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</si>
  <si>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</si>
  <si>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</si>
  <si>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</si>
  <si>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</si>
  <si>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</si>
  <si>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</si>
  <si>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</si>
  <si>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</si>
  <si>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</si>
  <si>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</si>
  <si>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</si>
  <si>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</si>
  <si>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</si>
  <si>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</si>
  <si>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</si>
  <si>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</si>
  <si>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</si>
  <si>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</si>
  <si>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</si>
  <si>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</si>
  <si>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</si>
  <si>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</si>
  <si>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</si>
  <si>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</si>
  <si>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</si>
  <si>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</si>
  <si>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</si>
  <si>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</si>
  <si>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</si>
  <si>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</si>
  <si>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</si>
  <si>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</si>
  <si>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</si>
  <si>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</si>
  <si>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</si>
  <si>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</si>
  <si>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</si>
  <si>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</si>
  <si>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</si>
  <si>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</si>
  <si>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</si>
  <si>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</si>
  <si>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</si>
  <si>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</si>
  <si>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</si>
  <si>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</si>
  <si>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</si>
  <si>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</si>
  <si>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</si>
  <si>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</si>
  <si>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</si>
  <si>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</si>
  <si>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</si>
  <si>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</si>
  <si>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</si>
  <si>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</si>
  <si>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</si>
  <si>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</si>
  <si>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</si>
  <si>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</si>
  <si>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</si>
  <si>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</si>
  <si>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</si>
  <si>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</si>
  <si>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</si>
  <si>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</si>
  <si>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</si>
  <si>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</si>
  <si>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</si>
  <si>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</si>
  <si>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</si>
  <si>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</si>
  <si>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</si>
  <si>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</si>
  <si>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</si>
  <si>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</si>
  <si>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</si>
  <si>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</si>
  <si>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</si>
  <si>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</si>
  <si>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</si>
  <si>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</si>
  <si>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</si>
  <si>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</si>
  <si>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</si>
  <si>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</si>
  <si>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</si>
  <si>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</si>
  <si>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</si>
  <si>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</si>
  <si>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</si>
  <si>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</si>
  <si>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</si>
  <si>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</si>
  <si>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</si>
  <si>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</si>
  <si>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</si>
  <si>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</si>
  <si>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</si>
  <si>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</si>
  <si>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</si>
  <si>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</si>
  <si>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</si>
  <si>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</si>
  <si>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</si>
  <si>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</si>
  <si>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</si>
  <si>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</si>
  <si>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</si>
  <si>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</si>
  <si>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</si>
  <si>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</si>
  <si>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</si>
  <si>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</si>
  <si>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</si>
  <si>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</si>
  <si>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</si>
  <si>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</si>
  <si>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</si>
  <si>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</si>
  <si>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</si>
  <si>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</si>
  <si>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</si>
  <si>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</si>
  <si>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</si>
  <si>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</si>
  <si>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</si>
  <si>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</si>
  <si>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</si>
  <si>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</si>
  <si>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</si>
  <si>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</si>
  <si>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</si>
  <si>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</si>
  <si>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</si>
  <si>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</si>
  <si>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</si>
  <si>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</si>
  <si>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</si>
  <si>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</si>
  <si>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</si>
  <si>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</si>
  <si>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</si>
  <si>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</si>
  <si>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</si>
  <si>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</si>
  <si>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</si>
  <si>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</si>
  <si>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</si>
  <si>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</si>
  <si>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</si>
  <si>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</si>
  <si>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</si>
  <si>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</si>
  <si>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</si>
  <si>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</si>
  <si>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</si>
  <si>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</si>
  <si>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</si>
  <si>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</si>
  <si>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</si>
  <si>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</si>
  <si>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</si>
  <si>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</si>
  <si>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</si>
  <si>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</si>
  <si>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</si>
  <si>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</si>
  <si>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</si>
  <si>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</si>
  <si>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</si>
  <si>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</si>
  <si>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</si>
  <si>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</si>
  <si>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</si>
  <si>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</si>
  <si>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</si>
  <si>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</si>
  <si>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</si>
  <si>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</si>
  <si>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</si>
  <si>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</si>
  <si>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</si>
  <si>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</si>
  <si>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</si>
  <si>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</si>
  <si>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</si>
  <si>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</si>
  <si>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</si>
  <si>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</si>
  <si>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</si>
  <si>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</si>
  <si>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</si>
  <si>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</si>
  <si>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</si>
  <si>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</si>
  <si>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</si>
  <si>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</si>
  <si>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</si>
  <si>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</si>
  <si>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</si>
  <si>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</si>
  <si>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</si>
  <si>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</si>
  <si>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</si>
  <si>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</si>
  <si>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</si>
  <si>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</si>
  <si>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</si>
  <si>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</si>
  <si>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</si>
  <si>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</si>
  <si>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</si>
  <si>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</si>
  <si>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</si>
  <si>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</si>
  <si>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</si>
  <si>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</si>
  <si>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</si>
  <si>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</si>
  <si>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</si>
  <si>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</si>
  <si>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</si>
  <si>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</si>
  <si>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</si>
  <si>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</si>
  <si>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</si>
  <si>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</si>
  <si>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</si>
  <si>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</si>
  <si>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</si>
  <si>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</si>
  <si>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</si>
  <si>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</si>
  <si>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</si>
  <si>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</si>
  <si>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</si>
  <si>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</si>
  <si>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</si>
  <si>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</si>
  <si>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</si>
  <si>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</si>
  <si>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</si>
  <si>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</si>
  <si>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</si>
  <si>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</si>
  <si>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</si>
  <si>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</si>
  <si>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</si>
  <si>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</si>
  <si>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</si>
  <si>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</si>
  <si>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</si>
  <si>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</si>
  <si>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</si>
  <si>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</si>
  <si>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</si>
  <si>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</si>
  <si>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</si>
  <si>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</si>
  <si>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</si>
  <si>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</si>
  <si>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</si>
  <si>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</si>
  <si>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</si>
  <si>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</si>
  <si>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</si>
  <si>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</si>
  <si>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</si>
  <si>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</si>
  <si>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</si>
  <si>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</si>
  <si>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</si>
  <si>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</si>
  <si>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</si>
  <si>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</si>
  <si>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</si>
  <si>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</si>
  <si>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</si>
  <si>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</si>
  <si>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</si>
  <si>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</si>
  <si>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</si>
  <si>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</si>
  <si>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</si>
  <si>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</si>
  <si>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</si>
  <si>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</si>
  <si>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</si>
  <si>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</si>
  <si>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</si>
  <si>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</si>
  <si>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</si>
  <si>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</si>
  <si>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</si>
  <si>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</si>
  <si>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</si>
  <si>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</si>
  <si>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</si>
  <si>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</si>
  <si>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</si>
  <si>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</si>
  <si>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</si>
  <si>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</si>
  <si>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</si>
  <si>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</si>
  <si>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</si>
  <si>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</si>
  <si>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</si>
  <si>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</si>
  <si>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</si>
  <si>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</si>
  <si>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</si>
  <si>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</si>
  <si>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</si>
  <si>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</si>
  <si>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</si>
  <si>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</si>
  <si>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</si>
  <si>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</si>
  <si>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</si>
  <si>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</si>
  <si>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</si>
  <si>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</si>
  <si>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</si>
  <si>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</si>
  <si>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</si>
  <si>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</si>
  <si>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</si>
  <si>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</si>
  <si>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</si>
  <si>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</si>
  <si>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</si>
  <si>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</si>
  <si>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</si>
  <si>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</si>
  <si>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</si>
  <si>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</si>
  <si>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</si>
  <si>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</si>
  <si>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</si>
  <si>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</si>
  <si>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</si>
  <si>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</si>
  <si>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</si>
  <si>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</si>
  <si>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</si>
  <si>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</si>
  <si>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</si>
  <si>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</si>
  <si>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</si>
  <si>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</si>
  <si>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</si>
  <si>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</si>
  <si>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</si>
  <si>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</si>
  <si>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</si>
  <si>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</si>
  <si>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</si>
  <si>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</si>
  <si>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</si>
  <si>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</si>
  <si>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</si>
  <si>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</si>
  <si>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</si>
  <si>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</si>
  <si>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</si>
  <si>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</si>
  <si>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</si>
  <si>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</si>
  <si>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</si>
  <si>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</si>
  <si>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</si>
  <si>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</si>
  <si>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</si>
  <si>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</si>
  <si>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</si>
  <si>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</si>
  <si>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</si>
  <si>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</si>
  <si>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</si>
  <si>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</si>
  <si>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</si>
  <si>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</si>
  <si>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</si>
  <si>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</si>
  <si>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</si>
  <si>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</si>
  <si>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</si>
  <si>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</si>
  <si>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</si>
  <si>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</si>
  <si>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</si>
  <si>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</si>
  <si>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</si>
  <si>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</si>
  <si>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</si>
  <si>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</si>
  <si>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</si>
  <si>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</si>
  <si>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</si>
  <si>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</si>
  <si>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</si>
  <si>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</si>
  <si>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</si>
  <si>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</si>
  <si>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</si>
  <si>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</si>
  <si>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</si>
  <si>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</si>
  <si>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</si>
  <si>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</si>
  <si>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</si>
  <si>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</si>
  <si>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</si>
  <si>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</si>
  <si>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</si>
  <si>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</si>
  <si>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</si>
  <si>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</si>
  <si>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</si>
  <si>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</si>
  <si>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</si>
  <si>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</si>
  <si>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</si>
  <si>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</si>
  <si>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</si>
  <si>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</si>
  <si>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</si>
  <si>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</si>
  <si>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</si>
  <si>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</si>
  <si>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</si>
  <si>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</si>
  <si>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</si>
  <si>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</si>
  <si>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</si>
  <si>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</si>
  <si>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</si>
  <si>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</si>
  <si>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</si>
  <si>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</si>
  <si>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</si>
  <si>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</si>
  <si>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</si>
  <si>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</si>
  <si>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</si>
  <si>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</si>
  <si>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</si>
  <si>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</si>
  <si>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</si>
  <si>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</si>
  <si>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</si>
  <si>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</si>
  <si>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</si>
  <si>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</si>
  <si>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</si>
  <si>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</si>
  <si>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</si>
  <si>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</si>
  <si>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</si>
  <si>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</si>
  <si>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</si>
  <si>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</si>
  <si>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</si>
  <si>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</si>
  <si>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</si>
  <si>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</si>
  <si>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</si>
  <si>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</si>
  <si>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</si>
  <si>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</si>
  <si>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</si>
  <si>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</si>
  <si>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</si>
  <si>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</si>
  <si>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</si>
  <si>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</si>
  <si>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</si>
  <si>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</si>
  <si>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</si>
  <si>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</si>
  <si>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</si>
  <si>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</si>
  <si>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</si>
  <si>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</si>
  <si>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</si>
  <si>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</si>
  <si>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</si>
  <si>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</si>
  <si>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</si>
  <si>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</si>
  <si>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</si>
  <si>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</si>
  <si>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</si>
  <si>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</si>
  <si>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</si>
  <si>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</si>
  <si>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</si>
  <si>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</si>
  <si>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</si>
  <si>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</si>
  <si>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</si>
  <si>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</si>
  <si>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</si>
  <si>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</si>
  <si>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</si>
  <si>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</si>
  <si>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</si>
  <si>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</si>
  <si>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</si>
  <si>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</si>
  <si>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</si>
  <si>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</si>
  <si>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</si>
  <si>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</si>
  <si>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</si>
  <si>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</si>
  <si>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</si>
  <si>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</si>
  <si>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</si>
  <si>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</si>
  <si>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</si>
  <si>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</si>
  <si>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</si>
  <si>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</si>
  <si>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</si>
  <si>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</si>
  <si>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</si>
  <si>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</si>
  <si>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</si>
  <si>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</si>
  <si>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</si>
  <si>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</si>
  <si>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</si>
  <si>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</si>
  <si>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</si>
  <si>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</si>
  <si>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</si>
  <si>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</si>
  <si>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</si>
  <si>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</si>
  <si>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</si>
  <si>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</si>
  <si>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</si>
  <si>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</si>
  <si>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</si>
  <si>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</si>
  <si>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</si>
  <si>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</si>
  <si>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</si>
  <si>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</si>
  <si>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</si>
  <si>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</si>
  <si>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</si>
  <si>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</si>
  <si>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</si>
  <si>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</si>
  <si>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</si>
  <si>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</si>
  <si>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</si>
  <si>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</si>
  <si>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</si>
  <si>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</si>
  <si>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</si>
  <si>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</si>
  <si>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</si>
  <si>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</si>
  <si>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</si>
  <si>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</si>
  <si>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</si>
  <si>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</si>
  <si>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</si>
  <si>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</si>
  <si>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</si>
  <si>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</si>
  <si>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</si>
  <si>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</si>
  <si>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</si>
  <si>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</si>
  <si>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</si>
  <si>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</si>
  <si>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</si>
  <si>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</si>
  <si>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</si>
  <si>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</si>
  <si>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</si>
  <si>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</si>
  <si>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</si>
  <si>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</si>
  <si>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</si>
  <si>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</si>
  <si>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</si>
  <si>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</si>
  <si>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</si>
  <si>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</si>
  <si>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</si>
  <si>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</si>
  <si>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</si>
  <si>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</si>
  <si>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</si>
  <si>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</si>
  <si>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</si>
  <si>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</si>
  <si>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</si>
  <si>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</si>
  <si>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</si>
  <si>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</si>
  <si>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</si>
  <si>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</si>
  <si>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</si>
  <si>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</si>
  <si>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</si>
  <si>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</si>
  <si>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</si>
  <si>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</si>
  <si>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</si>
  <si>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</si>
  <si>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</si>
  <si>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</si>
  <si>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</si>
  <si>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</si>
  <si>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</si>
  <si>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</si>
  <si>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</si>
  <si>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</si>
  <si>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</si>
  <si>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</si>
  <si>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</si>
  <si>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</si>
  <si>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</si>
  <si>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</si>
  <si>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</si>
  <si>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</si>
  <si>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</si>
  <si>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</si>
  <si>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</si>
  <si>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</si>
  <si>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</si>
  <si>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</si>
  <si>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</si>
  <si>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</si>
  <si>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</si>
  <si>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</si>
  <si>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</si>
  <si>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</si>
  <si>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</si>
  <si>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</si>
  <si>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</si>
  <si>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</si>
  <si>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</si>
  <si>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</si>
  <si>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</si>
  <si>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</si>
  <si>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</si>
  <si>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</si>
  <si>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</si>
  <si>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</si>
  <si>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</si>
  <si>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</si>
  <si>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</si>
  <si>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</si>
  <si>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</si>
  <si>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</si>
  <si>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</si>
  <si>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</si>
  <si>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</si>
  <si>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</si>
  <si>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</si>
  <si>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</si>
  <si>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</si>
  <si>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</si>
  <si>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</si>
  <si>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</si>
  <si>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</si>
  <si>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</si>
  <si>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</si>
  <si>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</si>
  <si>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</si>
  <si>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</si>
  <si>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</si>
  <si>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</si>
  <si>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</si>
  <si>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</si>
  <si>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</si>
  <si>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</si>
  <si>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</si>
  <si>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</si>
  <si>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</si>
  <si>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</si>
  <si>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</si>
  <si>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</si>
  <si>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</si>
  <si>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</si>
  <si>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</si>
  <si>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</si>
  <si>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</si>
  <si>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</si>
  <si>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</si>
  <si>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</si>
  <si>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</si>
  <si>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</si>
  <si>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</si>
  <si>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</si>
  <si>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</si>
  <si>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</si>
  <si>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</si>
  <si>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</si>
  <si>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</si>
  <si>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</si>
  <si>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</si>
  <si>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</si>
  <si>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</si>
  <si>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</si>
  <si>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</si>
  <si>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</si>
  <si>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</si>
  <si>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</si>
  <si>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</si>
  <si>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</si>
  <si>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</si>
  <si>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</si>
  <si>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</si>
  <si>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</si>
  <si>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</si>
  <si>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</si>
  <si>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</si>
  <si>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</si>
  <si>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</si>
  <si>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</si>
  <si>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</si>
  <si>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</si>
  <si>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</si>
  <si>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</si>
  <si>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</si>
  <si>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</si>
  <si>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</si>
  <si>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</si>
  <si>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</si>
  <si>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</si>
  <si>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</si>
  <si>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</si>
  <si>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</si>
  <si>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</si>
  <si>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</si>
  <si>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</si>
  <si>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</si>
  <si>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</si>
  <si>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</si>
  <si>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</si>
  <si>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</si>
  <si>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</si>
  <si>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</si>
  <si>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</si>
  <si>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</si>
  <si>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</si>
  <si>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</si>
  <si>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</si>
  <si>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</si>
  <si>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</si>
  <si>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</si>
  <si>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</si>
  <si>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</si>
  <si>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</si>
  <si>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</si>
  <si>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</si>
  <si>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</si>
  <si>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</si>
  <si>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</si>
  <si>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</si>
  <si>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</si>
  <si>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</si>
  <si>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</si>
  <si>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</si>
  <si>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</si>
  <si>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</si>
  <si>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</si>
  <si>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</si>
  <si>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</si>
  <si>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</si>
  <si>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</si>
  <si>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</si>
  <si>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</si>
  <si>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</si>
  <si>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</si>
  <si>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</si>
  <si>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</si>
  <si>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</si>
  <si>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</si>
  <si>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</si>
  <si>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</si>
  <si>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</si>
  <si>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</si>
  <si>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</si>
  <si>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</si>
  <si>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</si>
  <si>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</si>
  <si>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</si>
  <si>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</si>
  <si>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</si>
  <si>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</si>
  <si>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</si>
  <si>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</si>
  <si>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</si>
  <si>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</si>
  <si>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</si>
  <si>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</si>
  <si>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</si>
  <si>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</si>
  <si>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</si>
  <si>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</si>
  <si>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</si>
  <si>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</si>
  <si>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</si>
  <si>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</si>
  <si>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</si>
  <si>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</si>
  <si>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</si>
  <si>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</si>
  <si>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</si>
  <si>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</si>
  <si>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</si>
  <si>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</si>
  <si>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</si>
  <si>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</si>
  <si>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</si>
  <si>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</si>
  <si>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</si>
  <si>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</si>
  <si>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</si>
  <si>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</si>
  <si>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</si>
  <si>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</si>
  <si>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</si>
  <si>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</si>
  <si>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</si>
  <si>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</si>
  <si>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</si>
  <si>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</si>
  <si>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</si>
  <si>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</si>
  <si>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</si>
  <si>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</si>
  <si>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</si>
  <si>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</si>
  <si>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</si>
  <si>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</si>
  <si>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</si>
  <si>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</si>
  <si>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</si>
  <si>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</si>
  <si>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</si>
  <si>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</si>
  <si>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</si>
  <si>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</si>
  <si>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</si>
  <si>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</si>
  <si>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</si>
  <si>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</si>
  <si>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</si>
  <si>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</si>
  <si>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</si>
  <si>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</si>
  <si>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</si>
  <si>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</si>
  <si>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</si>
  <si>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</si>
  <si>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</si>
  <si>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</si>
  <si>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</si>
  <si>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</si>
  <si>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</si>
  <si>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</si>
  <si>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</si>
  <si>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</si>
  <si>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</si>
  <si>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</si>
  <si>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</si>
  <si>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</si>
  <si>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</si>
  <si>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</si>
  <si>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</si>
  <si>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</si>
  <si>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</si>
  <si>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</si>
  <si>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</si>
  <si>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</si>
  <si>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</si>
  <si>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</si>
  <si>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</si>
  <si>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</si>
  <si>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</si>
  <si>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</si>
  <si>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</si>
  <si>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</si>
  <si>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</si>
  <si>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</si>
  <si>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</si>
  <si>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</si>
  <si>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</si>
  <si>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</si>
  <si>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</si>
  <si>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</si>
  <si>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</si>
  <si>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</si>
  <si>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</si>
  <si>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</si>
  <si>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</si>
  <si>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</si>
  <si>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</si>
  <si>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</si>
  <si>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</si>
  <si>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</si>
  <si>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</si>
  <si>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</si>
  <si>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</si>
  <si>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</si>
  <si>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</si>
  <si>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</si>
  <si>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</si>
  <si>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</si>
  <si>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</si>
  <si>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</si>
  <si>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</si>
  <si>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</si>
  <si>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</si>
  <si>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</si>
  <si>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</si>
  <si>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</si>
  <si>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</si>
  <si>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</si>
  <si>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</si>
  <si>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</si>
  <si>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</si>
  <si>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</si>
  <si>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</si>
  <si>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</si>
  <si>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</si>
  <si>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</si>
  <si>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</si>
  <si>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</si>
  <si>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</si>
  <si>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</si>
  <si>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</si>
  <si>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</si>
  <si>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</si>
  <si>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</si>
  <si>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</si>
  <si>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</si>
  <si>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</si>
  <si>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</si>
  <si>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</si>
  <si>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</si>
  <si>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</si>
  <si>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</si>
  <si>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</si>
  <si>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</si>
  <si>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</si>
  <si>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</si>
  <si>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</si>
  <si>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</si>
  <si>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</si>
  <si>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</si>
  <si>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</si>
  <si>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</si>
  <si>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</si>
  <si>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</si>
  <si>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</si>
  <si>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</si>
  <si>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</si>
  <si>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</si>
  <si>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</si>
  <si>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</si>
  <si>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</si>
  <si>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</si>
  <si>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</si>
  <si>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</si>
  <si>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</si>
  <si>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</si>
  <si>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</si>
  <si>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</si>
  <si>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</si>
  <si>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</si>
  <si>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</si>
  <si>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</si>
  <si>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</si>
  <si>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</si>
  <si>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</si>
  <si>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</si>
  <si>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</si>
  <si>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</si>
  <si>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</si>
  <si>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</si>
  <si>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</si>
  <si>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</si>
  <si>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</si>
  <si>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</si>
  <si>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</si>
  <si>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</si>
  <si>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</si>
  <si>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</si>
  <si>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</si>
  <si>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</si>
  <si>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</si>
  <si>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</si>
  <si>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</si>
  <si>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</si>
  <si>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</si>
  <si>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</si>
  <si>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</si>
  <si>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</si>
  <si>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</si>
  <si>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</si>
  <si>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</si>
  <si>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</si>
  <si>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</si>
  <si>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</si>
  <si>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</si>
  <si>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</si>
  <si>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</si>
  <si>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</si>
  <si>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</si>
  <si>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</si>
  <si>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</si>
  <si>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</si>
  <si>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</si>
  <si>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</si>
  <si>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</si>
  <si>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</si>
  <si>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</si>
  <si>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</si>
  <si>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</si>
  <si>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</si>
  <si>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</si>
  <si>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</si>
  <si>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</si>
  <si>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</si>
  <si>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</si>
  <si>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</si>
  <si>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</si>
  <si>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</si>
  <si>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</si>
  <si>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</si>
  <si>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</si>
  <si>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</si>
  <si>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</si>
  <si>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</si>
  <si>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</si>
  <si>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</si>
  <si>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</si>
  <si>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</si>
  <si>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</si>
  <si>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</si>
  <si>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</si>
  <si>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</si>
  <si>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</si>
  <si>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</si>
  <si>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</si>
  <si>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</si>
  <si>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</si>
  <si>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</si>
  <si>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</si>
  <si>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</si>
  <si>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</si>
  <si>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</si>
  <si>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</si>
  <si>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</si>
  <si>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</si>
  <si>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</si>
  <si>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</si>
  <si>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</si>
  <si>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</si>
  <si>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</si>
  <si>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</si>
  <si>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</si>
  <si>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</si>
  <si>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</si>
  <si>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</si>
  <si>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</si>
  <si>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</si>
  <si>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</si>
  <si>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</si>
  <si>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</si>
  <si>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</si>
  <si>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</si>
  <si>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</si>
  <si>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</si>
  <si>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</si>
  <si>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</si>
  <si>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</si>
  <si>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</si>
  <si>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</si>
  <si>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</si>
  <si>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</si>
  <si>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</si>
  <si>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</si>
  <si>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</si>
  <si>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</si>
  <si>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</si>
  <si>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</si>
  <si>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</si>
  <si>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</si>
  <si>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</si>
  <si>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</si>
  <si>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</si>
  <si>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</si>
  <si>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</si>
  <si>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</si>
  <si>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</si>
  <si>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</si>
  <si>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</si>
  <si>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</si>
  <si>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</si>
  <si>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</si>
  <si>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</si>
  <si>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</si>
  <si>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</si>
  <si>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</si>
  <si>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</si>
  <si>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</si>
  <si>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</si>
  <si>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</si>
  <si>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</si>
  <si>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</si>
  <si>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</si>
  <si>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</si>
  <si>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</si>
  <si>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</si>
  <si>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</si>
  <si>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</si>
  <si>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</si>
  <si>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</si>
  <si>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</si>
  <si>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</si>
  <si>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</si>
  <si>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</si>
  <si>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</si>
  <si>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</si>
  <si>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</si>
  <si>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</si>
  <si>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</si>
  <si>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</si>
  <si>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</si>
  <si>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</si>
  <si>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</si>
  <si>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</si>
  <si>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</si>
  <si>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</si>
  <si>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</si>
  <si>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</si>
  <si>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</si>
  <si>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</si>
  <si>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</si>
  <si>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</si>
  <si>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</si>
  <si>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</si>
  <si>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</si>
  <si>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</si>
  <si>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</si>
  <si>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</si>
  <si>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</si>
  <si>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</si>
  <si>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</si>
  <si>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</si>
  <si>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</si>
  <si>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</si>
  <si>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</si>
  <si>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</si>
  <si>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</si>
  <si>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</si>
  <si>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</si>
  <si>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</si>
  <si>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</si>
  <si>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</si>
  <si>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</si>
  <si>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</si>
  <si>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</si>
  <si>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</si>
  <si>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</si>
  <si>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</si>
  <si>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</si>
  <si>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</si>
  <si>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</si>
  <si>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</si>
  <si>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</si>
  <si>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</si>
  <si>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</si>
  <si>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</si>
  <si>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</si>
  <si>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</si>
  <si>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</si>
  <si>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</si>
  <si>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</si>
  <si>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</si>
  <si>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</si>
  <si>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</si>
  <si>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</si>
  <si>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</si>
  <si>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</si>
  <si>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</si>
  <si>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</si>
  <si>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</si>
  <si>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</si>
  <si>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</si>
  <si>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</si>
  <si>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</si>
  <si>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</si>
  <si>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</si>
  <si>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</si>
  <si>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</si>
  <si>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</si>
  <si>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</si>
  <si>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</si>
  <si>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</si>
  <si>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</si>
  <si>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</si>
  <si>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</si>
  <si>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</si>
  <si>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</si>
  <si>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</si>
  <si>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</si>
  <si>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</si>
  <si>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</si>
  <si>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</si>
  <si>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</si>
  <si>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</si>
  <si>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</si>
  <si>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</si>
  <si>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</si>
  <si>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</si>
  <si>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</si>
  <si>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</si>
  <si>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</si>
  <si>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</si>
  <si>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</si>
  <si>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</si>
  <si>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</si>
  <si>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</si>
  <si>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</si>
  <si>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</si>
  <si>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</si>
  <si>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</si>
  <si>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</si>
  <si>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</si>
  <si>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</si>
  <si>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</si>
  <si>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</si>
  <si>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</si>
  <si>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</si>
  <si>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</si>
  <si>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</si>
  <si>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</si>
  <si>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</si>
  <si>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</si>
  <si>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</si>
  <si>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</si>
  <si>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</si>
  <si>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</si>
  <si>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</si>
  <si>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</si>
  <si>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</si>
  <si>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</si>
  <si>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</si>
  <si>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</si>
  <si>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</si>
  <si>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</si>
  <si>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</si>
  <si>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</si>
  <si>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</si>
  <si>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</si>
  <si>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</si>
  <si>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</si>
  <si>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</si>
  <si>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</si>
  <si>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</si>
  <si>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</si>
  <si>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</si>
  <si>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</si>
  <si>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</si>
  <si>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</si>
  <si>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</si>
  <si>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</si>
  <si>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</si>
  <si>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</si>
  <si>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</si>
  <si>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</si>
  <si>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</si>
  <si>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</si>
  <si>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</si>
  <si>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</si>
  <si>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</si>
  <si>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</si>
  <si>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</si>
  <si>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</si>
  <si>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</si>
  <si>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</si>
  <si>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</si>
  <si>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</si>
  <si>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</si>
  <si>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</si>
  <si>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</si>
  <si>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</si>
  <si>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</si>
  <si>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</si>
  <si>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</si>
  <si>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</si>
  <si>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</si>
  <si>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</si>
  <si>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</si>
  <si>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</si>
  <si>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</si>
  <si>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</si>
  <si>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</si>
  <si>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</si>
  <si>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</si>
  <si>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</si>
  <si>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</si>
  <si>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</si>
  <si>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</si>
  <si>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</si>
  <si>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</si>
  <si>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</si>
  <si>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</si>
  <si>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</si>
  <si>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</si>
  <si>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</si>
  <si>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</si>
  <si>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</si>
  <si>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</si>
  <si>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</si>
  <si>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</si>
  <si>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</si>
  <si>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</si>
  <si>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</si>
  <si>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</si>
  <si>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</si>
  <si>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</si>
  <si>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</si>
  <si>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</si>
  <si>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</si>
  <si>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</si>
  <si>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</si>
  <si>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</si>
  <si>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</si>
  <si>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</si>
  <si>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</si>
  <si>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</si>
  <si>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</si>
  <si>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</si>
  <si>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</si>
  <si>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</si>
  <si>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</si>
  <si>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</si>
  <si>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</si>
  <si>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</si>
  <si>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</si>
  <si>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</si>
  <si>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</si>
  <si>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</si>
  <si>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</si>
  <si>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</si>
  <si>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</si>
  <si>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</si>
  <si>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</si>
  <si>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</si>
  <si>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</si>
  <si>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</si>
  <si>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</si>
  <si>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</si>
  <si>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</si>
  <si>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</si>
  <si>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</si>
  <si>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</si>
  <si>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</si>
  <si>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</si>
  <si>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</si>
  <si>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</si>
  <si>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</si>
  <si>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</si>
  <si>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</si>
  <si>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</si>
  <si>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</si>
  <si>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</si>
  <si>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</si>
  <si>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</si>
  <si>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</si>
  <si>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</si>
  <si>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</si>
  <si>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</si>
  <si>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</si>
  <si>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</si>
  <si>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</si>
  <si>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</si>
  <si>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</si>
  <si>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</si>
  <si>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</si>
  <si>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</si>
  <si>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</si>
  <si>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</si>
  <si>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</si>
  <si>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</si>
  <si>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</si>
  <si>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</si>
  <si>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</si>
  <si>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</si>
  <si>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</si>
  <si>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</si>
  <si>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</si>
  <si>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</si>
  <si>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</si>
  <si>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</si>
  <si>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</si>
  <si>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</si>
  <si>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</si>
  <si>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</si>
  <si>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</si>
  <si>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</si>
  <si>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</si>
  <si>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</si>
  <si>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</si>
  <si>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</si>
  <si>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</si>
  <si>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</si>
  <si>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</si>
  <si>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</si>
  <si>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</si>
  <si>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</si>
  <si>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</si>
  <si>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</si>
  <si>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</si>
  <si>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</si>
  <si>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</si>
  <si>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</si>
  <si>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</si>
  <si>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</si>
  <si>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</si>
  <si>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</si>
  <si>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</si>
  <si>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</si>
  <si>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</si>
  <si>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</si>
  <si>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</si>
  <si>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</si>
  <si>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</si>
  <si>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</si>
  <si>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</si>
  <si>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</si>
  <si>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</si>
  <si>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</si>
  <si>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</si>
  <si>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</si>
  <si>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</si>
  <si>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</si>
  <si>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</si>
  <si>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</si>
  <si>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</si>
  <si>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</si>
  <si>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</si>
  <si>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</si>
  <si>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</si>
  <si>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</si>
  <si>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</si>
  <si>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</si>
  <si>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</si>
  <si>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</si>
  <si>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</si>
  <si>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</si>
  <si>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</si>
  <si>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</si>
  <si>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</si>
  <si>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</si>
  <si>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</si>
  <si>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</si>
  <si>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</si>
  <si>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</si>
  <si>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</si>
  <si>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</si>
  <si>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</si>
  <si>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</si>
  <si>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</si>
  <si>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</si>
  <si>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</si>
  <si>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</si>
  <si>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</si>
  <si>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</si>
  <si>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</si>
  <si>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</si>
  <si>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</si>
  <si>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</si>
  <si>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</si>
  <si>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</si>
  <si>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</si>
  <si>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</si>
  <si>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</si>
  <si>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</si>
  <si>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</si>
  <si>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</si>
  <si>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</si>
  <si>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</si>
  <si>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</si>
  <si>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</si>
  <si>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</si>
  <si>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</si>
  <si>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</si>
  <si>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</si>
  <si>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</si>
  <si>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</si>
  <si>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</si>
  <si>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</si>
  <si>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</si>
  <si>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</si>
  <si>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</si>
  <si>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</si>
  <si>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</si>
  <si>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</si>
  <si>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</si>
  <si>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</si>
  <si>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</si>
  <si>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</si>
  <si>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</si>
  <si>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</si>
  <si>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</si>
  <si>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</si>
  <si>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</si>
  <si>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</si>
  <si>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</si>
  <si>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</si>
  <si>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</si>
  <si>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</si>
  <si>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</si>
  <si>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</si>
  <si>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</si>
  <si>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</si>
  <si>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</si>
  <si>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</si>
  <si>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</si>
  <si>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</si>
  <si>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</si>
  <si>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</si>
  <si>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</si>
  <si>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</si>
  <si>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</si>
  <si>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</si>
  <si>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</si>
  <si>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</si>
  <si>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</si>
  <si>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</si>
  <si>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</si>
  <si>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</si>
  <si>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</si>
  <si>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</si>
  <si>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</si>
  <si>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</si>
  <si>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</si>
  <si>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</si>
  <si>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</si>
  <si>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</si>
  <si>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</si>
  <si>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</si>
  <si>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</si>
  <si>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</si>
  <si>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</si>
  <si>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</si>
  <si>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</si>
  <si>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</si>
  <si>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</si>
  <si>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</si>
  <si>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</si>
  <si>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</si>
  <si>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</si>
  <si>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</si>
  <si>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</si>
  <si>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</si>
  <si>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Values for Display</t>
  </si>
  <si>
    <t>Avg.Ratings</t>
  </si>
  <si>
    <t>Avg.Days</t>
  </si>
  <si>
    <t>For Trends</t>
  </si>
  <si>
    <t>Column Labels</t>
  </si>
  <si>
    <t>Row Labels</t>
  </si>
  <si>
    <t>Grand Total</t>
  </si>
  <si>
    <t>Female</t>
  </si>
  <si>
    <t>Male</t>
  </si>
  <si>
    <t>Other</t>
  </si>
  <si>
    <t>Unknown</t>
  </si>
  <si>
    <t>For Matrix</t>
  </si>
  <si>
    <t>`</t>
  </si>
  <si>
    <t>Order Quantity Analysis</t>
  </si>
  <si>
    <t>6 to 10</t>
  </si>
  <si>
    <t>More than 10</t>
  </si>
  <si>
    <t>Popular Products</t>
  </si>
  <si>
    <t>Map Chart Qty</t>
  </si>
  <si>
    <t>Map Chart Amount</t>
  </si>
  <si>
    <t>Customer Satisfaction Analysis</t>
  </si>
  <si>
    <t>Jan</t>
  </si>
  <si>
    <t>Feb</t>
  </si>
  <si>
    <t>Mar</t>
  </si>
  <si>
    <t>Which products are popular? Breakdown by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</si>
</sst>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0.0%"/>
  </numFmts>
  <fonts count="4" x14ac:knownFonts="1">
    <font>
      <sz val="11"/>
      <color theme="1"/>
      <name val="Aptos Narrow"/>
      <family val="2"/>
      <scheme val="minor"/>
    </font>
    <font>
      <b/>
      <sz val="11"/>
      <color theme="1"/>
      <name val="Aptos Narrow"/>
      <family val="2"/>
      <scheme val="minor"/>
    </font>
    <font>
      <b/>
      <sz val="11"/>
      <color theme="1"/>
      <name val="Cambria"/>
      <family val="1"/>
    </font>
    <font>
      <sz val="11"/>
      <color theme="1"/>
      <name val="Cambria"/>
      <family val="1"/>
    </font>
  </fonts>
  <fills count="9">
    <fill>
      <patternFill patternType="none"/>
    </fill>
    <fill>
      <patternFill patternType="gray125"/>
    </fill>
    <fill>
      <patternFill patternType="solid">
        <fgColor theme="9"/>
        <bgColor indexed="64"/>
      </patternFill>
    </fill>
    <fill>
      <patternFill patternType="solid">
        <fgColor rgb="FF00206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15" fontId="0" fillId="0" borderId="0" xfId="0" applyNumberFormat="1"/>
    <xf numFmtId="0" fontId="0" fillId="2" borderId="0" xfId="0" applyFill="1"/>
    <xf numFmtId="0" fontId="0" fillId="0" borderId="0" xfId="0" applyAlignment="1">
      <alignment horizontal="left" indent="1"/>
    </xf>
    <xf numFmtId="0" fontId="0" fillId="3" borderId="0" xfId="0" applyFill="1"/>
    <xf numFmtId="0" fontId="1" fillId="4" borderId="0" xfId="0" applyFont="1" applyFill="1"/>
    <xf numFmtId="0" fontId="1" fillId="5" borderId="1" xfId="0" applyFont="1" applyFill="1" applyBorder="1"/>
    <xf numFmtId="0" fontId="0" fillId="0" borderId="0" xfId="0"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6" borderId="0" xfId="0" applyFill="1"/>
    <xf numFmtId="0" fontId="0" fillId="6" borderId="0" xfId="0" applyFill="1" applyAlignment="1">
      <alignment horizontal="left"/>
    </xf>
    <xf numFmtId="10" fontId="0" fillId="6" borderId="0" xfId="0" applyNumberFormat="1" applyFill="1"/>
    <xf numFmtId="0" fontId="0" fillId="7" borderId="0" xfId="0" applyFill="1" applyAlignment="1">
      <alignment horizontal="left"/>
    </xf>
    <xf numFmtId="10" fontId="0" fillId="7" borderId="0" xfId="0" applyNumberFormat="1" applyFill="1"/>
    <xf numFmtId="0" fontId="2" fillId="8" borderId="2" xfId="0" applyFont="1" applyFill="1" applyBorder="1" applyAlignment="1">
      <alignment horizontal="center"/>
    </xf>
    <xf numFmtId="0" fontId="3" fillId="8" borderId="2" xfId="0" applyFont="1" applyFill="1" applyBorder="1" applyAlignment="1">
      <alignment horizontal="center"/>
    </xf>
    <xf numFmtId="165" fontId="3" fillId="8" borderId="2" xfId="0" applyNumberFormat="1" applyFont="1" applyFill="1" applyBorder="1" applyAlignment="1">
      <alignment horizontal="center"/>
    </xf>
    <xf numFmtId="4" fontId="0" fillId="0" borderId="0" xfId="0" applyNumberFormat="1"/>
    <xf numFmtId="0" fontId="1" fillId="0" borderId="0" xfId="0" applyFont="1"/>
    <xf numFmtId="0" fontId="1" fillId="0" borderId="1" xfId="0" applyFont="1" applyBorder="1"/>
    <xf numFmtId="0" fontId="0" fillId="0" borderId="0" xfId="0" applyNumberFormat="1"/>
  </cellXfs>
  <cellStyles count="1">
    <cellStyle name="Normal" xfId="0" builtinId="0"/>
  </cellStyles>
  <dxfs count="39">
    <dxf>
      <alignment horizontal="center"/>
    </dxf>
    <dxf>
      <numFmt numFmtId="164" formatCode="[$$-409]#,##0.00"/>
    </dxf>
    <dxf>
      <alignment horizontal="center"/>
    </dxf>
    <dxf>
      <numFmt numFmtId="4" formatCode="#,##0.00"/>
    </dxf>
    <dxf>
      <numFmt numFmtId="0" formatCode="General"/>
    </dxf>
    <dxf>
      <numFmt numFmtId="0" formatCode="General"/>
    </dxf>
    <dxf>
      <numFmt numFmtId="0" formatCode="General"/>
    </dxf>
    <dxf>
      <numFmt numFmtId="0" formatCode="General"/>
    </dxf>
    <dxf>
      <numFmt numFmtId="4" formatCode="#,##0.00"/>
    </dxf>
    <dxf>
      <alignment horizontal="center"/>
    </dxf>
    <dxf>
      <alignment horizontal="center"/>
    </dxf>
    <dxf>
      <alignment horizontal="center"/>
    </dxf>
    <dxf>
      <numFmt numFmtId="164" formatCode="[$$-409]#,##0.00"/>
    </dxf>
    <dxf>
      <alignment horizontal="center"/>
    </dxf>
    <dxf>
      <numFmt numFmtId="4" formatCode="#,##0.00"/>
    </dxf>
    <dxf>
      <numFmt numFmtId="0" formatCode="General"/>
    </dxf>
    <dxf>
      <numFmt numFmtId="0" formatCode="General"/>
    </dxf>
    <dxf>
      <numFmt numFmtId="0" formatCode="General"/>
    </dxf>
    <dxf>
      <numFmt numFmtId="0" formatCode="General"/>
    </dxf>
    <dxf>
      <numFmt numFmtId="4" formatCode="#,##0.00"/>
    </dxf>
    <dxf>
      <alignment horizontal="center"/>
    </dxf>
    <dxf>
      <alignment horizontal="cent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2"/>
        </patternFill>
      </fill>
    </dxf>
    <dxf>
      <fill>
        <patternFill>
          <bgColor theme="2"/>
        </patternFill>
      </fill>
    </dxf>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BF7F5A"/>
      <color rgb="FF9FBF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Viv Calif Retail Sales.xlsx]Pivots!PivotTable2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r>
              <a:rPr lang="en-IN" sz="1400" b="1" i="0" u="none" strike="noStrike" baseline="0">
                <a:effectLst/>
                <a:latin typeface="Cambria" panose="02040503050406030204" pitchFamily="18" charset="0"/>
                <a:ea typeface="Cambria" panose="02040503050406030204" pitchFamily="18" charset="0"/>
              </a:rPr>
              <a:t>Trend in the last 13 weeks </a:t>
            </a:r>
            <a:endParaRPr lang="en-IN"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Pivots!$B$7</c:f>
              <c:strCache>
                <c:ptCount val="1"/>
                <c:pt idx="0">
                  <c:v>Sum of Quantity</c:v>
                </c:pt>
              </c:strCache>
            </c:strRef>
          </c:tx>
          <c:spPr>
            <a:ln w="28575" cap="rnd">
              <a:solidFill>
                <a:schemeClr val="accent6">
                  <a:tint val="77000"/>
                </a:schemeClr>
              </a:solidFill>
              <a:round/>
            </a:ln>
            <a:effectLst/>
          </c:spPr>
          <c:marker>
            <c:symbol val="circle"/>
            <c:size val="5"/>
            <c:spPr>
              <a:solidFill>
                <a:schemeClr val="accent6">
                  <a:tint val="77000"/>
                </a:schemeClr>
              </a:solidFill>
              <a:ln w="9525">
                <a:solidFill>
                  <a:schemeClr val="accent6">
                    <a:tint val="77000"/>
                  </a:schemeClr>
                </a:solidFill>
              </a:ln>
              <a:effectLst/>
            </c:spPr>
          </c:marker>
          <c:cat>
            <c:strRef>
              <c:f>Pivots!$A$8:$A$21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Pivots!$B$8:$B$21</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E30E-4030-A072-1241CBE324FF}"/>
            </c:ext>
          </c:extLst>
        </c:ser>
        <c:dLbls>
          <c:showLegendKey val="0"/>
          <c:showVal val="0"/>
          <c:showCatName val="0"/>
          <c:showSerName val="0"/>
          <c:showPercent val="0"/>
          <c:showBubbleSize val="0"/>
        </c:dLbls>
        <c:marker val="1"/>
        <c:smooth val="0"/>
        <c:axId val="1014139615"/>
        <c:axId val="1014140575"/>
      </c:lineChart>
      <c:lineChart>
        <c:grouping val="standard"/>
        <c:varyColors val="0"/>
        <c:ser>
          <c:idx val="1"/>
          <c:order val="1"/>
          <c:tx>
            <c:strRef>
              <c:f>Pivots!$C$7</c:f>
              <c:strCache>
                <c:ptCount val="1"/>
                <c:pt idx="0">
                  <c:v>Sum of Amount</c:v>
                </c:pt>
              </c:strCache>
            </c:strRef>
          </c:tx>
          <c:spPr>
            <a:ln w="28575" cap="rnd">
              <a:solidFill>
                <a:schemeClr val="accent6">
                  <a:shade val="76000"/>
                </a:schemeClr>
              </a:solidFill>
              <a:round/>
            </a:ln>
            <a:effectLst/>
          </c:spPr>
          <c:marker>
            <c:symbol val="none"/>
          </c:marker>
          <c:cat>
            <c:strRef>
              <c:f>Pivots!$A$8:$A$21</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Pivots!$C$8:$C$21</c:f>
              <c:numCache>
                <c:formatCode>[$$-409]#,##0.00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E30E-4030-A072-1241CBE324FF}"/>
            </c:ext>
          </c:extLst>
        </c:ser>
        <c:dLbls>
          <c:showLegendKey val="0"/>
          <c:showVal val="0"/>
          <c:showCatName val="0"/>
          <c:showSerName val="0"/>
          <c:showPercent val="0"/>
          <c:showBubbleSize val="0"/>
        </c:dLbls>
        <c:marker val="1"/>
        <c:smooth val="0"/>
        <c:axId val="396829935"/>
        <c:axId val="396802095"/>
      </c:lineChart>
      <c:catAx>
        <c:axId val="101413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crossAx val="1014140575"/>
        <c:crosses val="autoZero"/>
        <c:auto val="1"/>
        <c:lblAlgn val="ctr"/>
        <c:lblOffset val="100"/>
        <c:noMultiLvlLbl val="0"/>
      </c:catAx>
      <c:valAx>
        <c:axId val="101414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crossAx val="1014139615"/>
        <c:crosses val="autoZero"/>
        <c:crossBetween val="between"/>
      </c:valAx>
      <c:valAx>
        <c:axId val="396802095"/>
        <c:scaling>
          <c:orientation val="minMax"/>
        </c:scaling>
        <c:delete val="0"/>
        <c:axPos val="r"/>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crossAx val="396829935"/>
        <c:crosses val="max"/>
        <c:crossBetween val="between"/>
      </c:valAx>
      <c:catAx>
        <c:axId val="396829935"/>
        <c:scaling>
          <c:orientation val="minMax"/>
        </c:scaling>
        <c:delete val="1"/>
        <c:axPos val="b"/>
        <c:numFmt formatCode="General" sourceLinked="1"/>
        <c:majorTickMark val="out"/>
        <c:minorTickMark val="none"/>
        <c:tickLblPos val="nextTo"/>
        <c:crossAx val="39680209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mbria" panose="02040503050406030204" pitchFamily="18" charset="0"/>
          <a:ea typeface="Cambria" panose="020405030504060302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Viv Calif Retail Sales.xlsx]Pivots!PivotTable5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latin typeface="Cambria" panose="02040503050406030204" pitchFamily="18" charset="0"/>
                <a:ea typeface="Cambria" panose="02040503050406030204" pitchFamily="18" charset="0"/>
              </a:rPr>
              <a:t>How many they buy? </a:t>
            </a:r>
            <a:endParaRPr lang="en-US"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Pivots!$B$25</c:f>
              <c:strCache>
                <c:ptCount val="1"/>
                <c:pt idx="0">
                  <c:v>Total</c:v>
                </c:pt>
              </c:strCache>
            </c:strRef>
          </c:tx>
          <c:spPr>
            <a:solidFill>
              <a:schemeClr val="accent6"/>
            </a:solidFill>
            <a:ln>
              <a:noFill/>
            </a:ln>
            <a:effectLst/>
          </c:spPr>
          <c:invertIfNegative val="0"/>
          <c:cat>
            <c:strRef>
              <c:f>Pivots!$A$26:$A$33</c:f>
              <c:strCache>
                <c:ptCount val="7"/>
                <c:pt idx="0">
                  <c:v>1</c:v>
                </c:pt>
                <c:pt idx="1">
                  <c:v>2</c:v>
                </c:pt>
                <c:pt idx="2">
                  <c:v>3</c:v>
                </c:pt>
                <c:pt idx="3">
                  <c:v>4</c:v>
                </c:pt>
                <c:pt idx="4">
                  <c:v>5</c:v>
                </c:pt>
                <c:pt idx="5">
                  <c:v>6 to 10</c:v>
                </c:pt>
                <c:pt idx="6">
                  <c:v>More than 10</c:v>
                </c:pt>
              </c:strCache>
            </c:strRef>
          </c:cat>
          <c:val>
            <c:numRef>
              <c:f>Pivots!$B$26:$B$33</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4254-4999-B449-6643E65D2664}"/>
            </c:ext>
          </c:extLst>
        </c:ser>
        <c:dLbls>
          <c:showLegendKey val="0"/>
          <c:showVal val="0"/>
          <c:showCatName val="0"/>
          <c:showSerName val="0"/>
          <c:showPercent val="0"/>
          <c:showBubbleSize val="0"/>
        </c:dLbls>
        <c:gapWidth val="219"/>
        <c:overlap val="-27"/>
        <c:axId val="1036795343"/>
        <c:axId val="1036808303"/>
      </c:barChart>
      <c:catAx>
        <c:axId val="103679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crossAx val="1036808303"/>
        <c:crosses val="autoZero"/>
        <c:auto val="1"/>
        <c:lblAlgn val="ctr"/>
        <c:lblOffset val="100"/>
        <c:noMultiLvlLbl val="0"/>
      </c:catAx>
      <c:valAx>
        <c:axId val="1036808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crossAx val="103679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Viv Calif Retail Sales.xlsx]Pivots!PivotTable6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latin typeface="Cambria" panose="02040503050406030204" pitchFamily="18" charset="0"/>
                <a:ea typeface="Cambria" panose="02040503050406030204" pitchFamily="18" charset="0"/>
              </a:rPr>
              <a:t>Which products are popular? Breakdown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Pivots!$B$36:$B$37</c:f>
              <c:strCache>
                <c:ptCount val="1"/>
              </c:strCache>
            </c:strRef>
          </c:tx>
          <c:spPr>
            <a:solidFill>
              <a:schemeClr val="accent6">
                <a:tint val="58000"/>
              </a:schemeClr>
            </a:solidFill>
            <a:ln>
              <a:noFill/>
            </a:ln>
            <a:effectLst/>
          </c:spPr>
          <c:invertIfNegative val="0"/>
          <c:cat>
            <c:strRef>
              <c:f>Pivots!$A$38:$A$58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Pivots!$B$38:$B$58</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20A2-4CDE-8234-8EDBC7DB6170}"/>
            </c:ext>
          </c:extLst>
        </c:ser>
        <c:ser>
          <c:idx val="1"/>
          <c:order val="1"/>
          <c:tx>
            <c:strRef>
              <c:f>Pivots!$C$36:$C$37</c:f>
              <c:strCache>
                <c:ptCount val="1"/>
                <c:pt idx="0">
                  <c:v>F</c:v>
                </c:pt>
              </c:strCache>
            </c:strRef>
          </c:tx>
          <c:spPr>
            <a:solidFill>
              <a:schemeClr val="accent6">
                <a:tint val="86000"/>
              </a:schemeClr>
            </a:solidFill>
            <a:ln>
              <a:noFill/>
            </a:ln>
            <a:effectLst/>
          </c:spPr>
          <c:invertIfNegative val="0"/>
          <c:cat>
            <c:strRef>
              <c:f>Pivots!$A$38:$A$58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Pivots!$C$38:$C$58</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4-4E94-4619-9032-0B5487F52261}"/>
            </c:ext>
          </c:extLst>
        </c:ser>
        <c:ser>
          <c:idx val="2"/>
          <c:order val="2"/>
          <c:tx>
            <c:strRef>
              <c:f>Pivots!$D$36:$D$37</c:f>
              <c:strCache>
                <c:ptCount val="1"/>
                <c:pt idx="0">
                  <c:v>M</c:v>
                </c:pt>
              </c:strCache>
            </c:strRef>
          </c:tx>
          <c:spPr>
            <a:solidFill>
              <a:schemeClr val="accent6">
                <a:shade val="86000"/>
              </a:schemeClr>
            </a:solidFill>
            <a:ln>
              <a:noFill/>
            </a:ln>
            <a:effectLst/>
          </c:spPr>
          <c:invertIfNegative val="0"/>
          <c:cat>
            <c:strRef>
              <c:f>Pivots!$A$38:$A$58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Pivots!$D$38:$D$58</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5-4E94-4619-9032-0B5487F52261}"/>
            </c:ext>
          </c:extLst>
        </c:ser>
        <c:ser>
          <c:idx val="3"/>
          <c:order val="3"/>
          <c:tx>
            <c:strRef>
              <c:f>Pivots!$E$36:$E$37</c:f>
              <c:strCache>
                <c:ptCount val="1"/>
                <c:pt idx="0">
                  <c:v>O</c:v>
                </c:pt>
              </c:strCache>
            </c:strRef>
          </c:tx>
          <c:spPr>
            <a:solidFill>
              <a:schemeClr val="accent6">
                <a:shade val="58000"/>
              </a:schemeClr>
            </a:solidFill>
            <a:ln>
              <a:noFill/>
            </a:ln>
            <a:effectLst/>
          </c:spPr>
          <c:invertIfNegative val="0"/>
          <c:cat>
            <c:strRef>
              <c:f>Pivots!$A$38:$A$58</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Pivots!$E$38:$E$58</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6-4E94-4619-9032-0B5487F52261}"/>
            </c:ext>
          </c:extLst>
        </c:ser>
        <c:dLbls>
          <c:showLegendKey val="0"/>
          <c:showVal val="0"/>
          <c:showCatName val="0"/>
          <c:showSerName val="0"/>
          <c:showPercent val="0"/>
          <c:showBubbleSize val="0"/>
        </c:dLbls>
        <c:gapWidth val="150"/>
        <c:overlap val="100"/>
        <c:axId val="1036881743"/>
        <c:axId val="1036873103"/>
      </c:barChart>
      <c:catAx>
        <c:axId val="10368817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crossAx val="1036873103"/>
        <c:crosses val="autoZero"/>
        <c:auto val="1"/>
        <c:lblAlgn val="ctr"/>
        <c:lblOffset val="100"/>
        <c:noMultiLvlLbl val="0"/>
      </c:catAx>
      <c:valAx>
        <c:axId val="103687310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crossAx val="103688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Viv Calif Retail Sales.xlsx]Pivots!PivotTable7</c:name>
    <c:fmtId val="21"/>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7.7777777777777682E-2"/>
              <c:y val="1.38888888888888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7.7777777777777779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5.2777777777777778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6.3888888888888884E-2"/>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6.3888888888888884E-2"/>
              <c:y val="-0.106481481481481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7.7777777777777682E-2"/>
              <c:y val="1.38888888888888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7.7777777777777779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5.2777777777777778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329179749986779"/>
              <c:y val="-9.10971104761677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425484132283283"/>
                  <c:h val="0.25274387206554527"/>
                </c:manualLayout>
              </c15:layout>
            </c:ext>
          </c:extLst>
        </c:dLbl>
      </c:pivotFmt>
      <c:pivotFmt>
        <c:idx val="12"/>
        <c:spPr>
          <a:solidFill>
            <a:schemeClr val="accent1"/>
          </a:solidFill>
          <a:ln w="19050">
            <a:solidFill>
              <a:schemeClr val="lt1"/>
            </a:solidFill>
          </a:ln>
          <a:effectLst/>
        </c:spPr>
        <c:dLbl>
          <c:idx val="0"/>
          <c:layout>
            <c:manualLayout>
              <c:x val="0.1095924691852079"/>
              <c:y val="0.131584715132242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028273994116953"/>
                  <c:h val="0.25274387206554527"/>
                </c:manualLayout>
              </c15:layout>
            </c:ext>
          </c:extLst>
        </c:dLbl>
      </c:pivotFmt>
      <c:pivotFmt>
        <c:idx val="13"/>
        <c:spPr>
          <a:solidFill>
            <a:schemeClr val="accent1"/>
          </a:solidFill>
          <a:ln w="19050">
            <a:solidFill>
              <a:schemeClr val="lt1"/>
            </a:solidFill>
          </a:ln>
          <a:effectLst/>
        </c:spPr>
        <c:dLbl>
          <c:idx val="0"/>
          <c:layout>
            <c:manualLayout>
              <c:x val="-7.6109596783849348E-2"/>
              <c:y val="0.334022738412614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343321061709408"/>
                  <c:h val="0.25274387206554527"/>
                </c:manualLayout>
              </c15:layout>
            </c:ext>
          </c:extLst>
        </c:dLbl>
      </c:pivotFmt>
      <c:pivotFmt>
        <c:idx val="14"/>
        <c:spPr>
          <a:solidFill>
            <a:schemeClr val="accent1"/>
          </a:solidFill>
          <a:ln w="19050">
            <a:solidFill>
              <a:schemeClr val="lt1"/>
            </a:solidFill>
          </a:ln>
          <a:effectLst/>
        </c:spPr>
        <c:dLbl>
          <c:idx val="0"/>
          <c:layout>
            <c:manualLayout>
              <c:x val="-0.11986676317132129"/>
              <c:y val="-8.09752093121490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740531199875738"/>
                  <c:h val="0.25274387206554527"/>
                </c:manualLayout>
              </c15:layout>
            </c:ext>
          </c:extLst>
        </c:dLbl>
      </c:pivotFmt>
    </c:pivotFmts>
    <c:plotArea>
      <c:layout/>
      <c:doughnutChart>
        <c:varyColors val="1"/>
        <c:ser>
          <c:idx val="0"/>
          <c:order val="0"/>
          <c:tx>
            <c:strRef>
              <c:f>Pivots!$I$36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23-4789-B5C2-4421C47E04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23-4789-B5C2-4421C47E04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23-4789-B5C2-4421C47E04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23-4789-B5C2-4421C47E04B0}"/>
              </c:ext>
            </c:extLst>
          </c:dPt>
          <c:dLbls>
            <c:dLbl>
              <c:idx val="0"/>
              <c:layout>
                <c:manualLayout>
                  <c:x val="0.12329179749986779"/>
                  <c:y val="-9.1097110476167711E-2"/>
                </c:manualLayout>
              </c:layout>
              <c:showLegendKey val="0"/>
              <c:showVal val="1"/>
              <c:showCatName val="0"/>
              <c:showSerName val="0"/>
              <c:showPercent val="0"/>
              <c:showBubbleSize val="0"/>
              <c:extLst>
                <c:ext xmlns:c15="http://schemas.microsoft.com/office/drawing/2012/chart" uri="{CE6537A1-D6FC-4f65-9D91-7224C49458BB}">
                  <c15:layout>
                    <c:manualLayout>
                      <c:w val="0.26425484132283283"/>
                      <c:h val="0.25274387206554527"/>
                    </c:manualLayout>
                  </c15:layout>
                </c:ext>
                <c:ext xmlns:c16="http://schemas.microsoft.com/office/drawing/2014/chart" uri="{C3380CC4-5D6E-409C-BE32-E72D297353CC}">
                  <c16:uniqueId val="{00000001-BB23-4789-B5C2-4421C47E04B0}"/>
                </c:ext>
              </c:extLst>
            </c:dLbl>
            <c:dLbl>
              <c:idx val="1"/>
              <c:layout>
                <c:manualLayout>
                  <c:x val="0.1095924691852079"/>
                  <c:y val="0.13158471513224224"/>
                </c:manualLayout>
              </c:layout>
              <c:showLegendKey val="0"/>
              <c:showVal val="1"/>
              <c:showCatName val="0"/>
              <c:showSerName val="0"/>
              <c:showPercent val="0"/>
              <c:showBubbleSize val="0"/>
              <c:extLst>
                <c:ext xmlns:c15="http://schemas.microsoft.com/office/drawing/2012/chart" uri="{CE6537A1-D6FC-4f65-9D91-7224C49458BB}">
                  <c15:layout>
                    <c:manualLayout>
                      <c:w val="0.28028273994116953"/>
                      <c:h val="0.25274387206554527"/>
                    </c:manualLayout>
                  </c15:layout>
                </c:ext>
                <c:ext xmlns:c16="http://schemas.microsoft.com/office/drawing/2014/chart" uri="{C3380CC4-5D6E-409C-BE32-E72D297353CC}">
                  <c16:uniqueId val="{00000003-BB23-4789-B5C2-4421C47E04B0}"/>
                </c:ext>
              </c:extLst>
            </c:dLbl>
            <c:dLbl>
              <c:idx val="2"/>
              <c:layout>
                <c:manualLayout>
                  <c:x val="-7.6109596783849348E-2"/>
                  <c:y val="0.33402273841261482"/>
                </c:manualLayout>
              </c:layout>
              <c:showLegendKey val="0"/>
              <c:showVal val="1"/>
              <c:showCatName val="0"/>
              <c:showSerName val="0"/>
              <c:showPercent val="0"/>
              <c:showBubbleSize val="0"/>
              <c:extLst>
                <c:ext xmlns:c15="http://schemas.microsoft.com/office/drawing/2012/chart" uri="{CE6537A1-D6FC-4f65-9D91-7224C49458BB}">
                  <c15:layout>
                    <c:manualLayout>
                      <c:w val="0.27343321061709408"/>
                      <c:h val="0.25274387206554527"/>
                    </c:manualLayout>
                  </c15:layout>
                </c:ext>
                <c:ext xmlns:c16="http://schemas.microsoft.com/office/drawing/2014/chart" uri="{C3380CC4-5D6E-409C-BE32-E72D297353CC}">
                  <c16:uniqueId val="{00000005-BB23-4789-B5C2-4421C47E04B0}"/>
                </c:ext>
              </c:extLst>
            </c:dLbl>
            <c:dLbl>
              <c:idx val="3"/>
              <c:layout>
                <c:manualLayout>
                  <c:x val="-0.11986676317132129"/>
                  <c:y val="-8.0975209312149077E-2"/>
                </c:manualLayout>
              </c:layout>
              <c:showLegendKey val="0"/>
              <c:showVal val="1"/>
              <c:showCatName val="0"/>
              <c:showSerName val="0"/>
              <c:showPercent val="0"/>
              <c:showBubbleSize val="0"/>
              <c:extLst>
                <c:ext xmlns:c15="http://schemas.microsoft.com/office/drawing/2012/chart" uri="{CE6537A1-D6FC-4f65-9D91-7224C49458BB}">
                  <c15:layout>
                    <c:manualLayout>
                      <c:w val="0.25740531199875738"/>
                      <c:h val="0.25274387206554527"/>
                    </c:manualLayout>
                  </c15:layout>
                </c:ext>
                <c:ext xmlns:c16="http://schemas.microsoft.com/office/drawing/2014/chart" uri="{C3380CC4-5D6E-409C-BE32-E72D297353CC}">
                  <c16:uniqueId val="{00000007-BB23-4789-B5C2-4421C47E04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Pivots!$H$37:$H$41</c:f>
              <c:strCache>
                <c:ptCount val="4"/>
                <c:pt idx="1">
                  <c:v>F</c:v>
                </c:pt>
                <c:pt idx="2">
                  <c:v>M</c:v>
                </c:pt>
                <c:pt idx="3">
                  <c:v>O</c:v>
                </c:pt>
              </c:strCache>
            </c:strRef>
          </c:cat>
          <c:val>
            <c:numRef>
              <c:f>Pivots!$I$37:$I$41</c:f>
              <c:numCache>
                <c:formatCode>#,##0.00</c:formatCode>
                <c:ptCount val="4"/>
                <c:pt idx="0">
                  <c:v>736</c:v>
                </c:pt>
                <c:pt idx="1">
                  <c:v>6272</c:v>
                </c:pt>
                <c:pt idx="2">
                  <c:v>4672</c:v>
                </c:pt>
                <c:pt idx="3">
                  <c:v>317</c:v>
                </c:pt>
              </c:numCache>
            </c:numRef>
          </c:val>
          <c:extLst>
            <c:ext xmlns:c16="http://schemas.microsoft.com/office/drawing/2014/chart" uri="{C3380CC4-5D6E-409C-BE32-E72D297353CC}">
              <c16:uniqueId val="{00000008-BB23-4789-B5C2-4421C47E04B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Viv Calif Retail Sales.xlsx]Pivots!PivotTable10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r>
              <a:rPr lang="en-IN" sz="1400" b="1" i="0" u="none" strike="noStrike" baseline="0">
                <a:effectLst/>
              </a:rPr>
              <a:t>How long we take to ship the orders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Pivots!$B$62</c:f>
              <c:strCache>
                <c:ptCount val="1"/>
                <c:pt idx="0">
                  <c:v>Total</c:v>
                </c:pt>
              </c:strCache>
            </c:strRef>
          </c:tx>
          <c:spPr>
            <a:solidFill>
              <a:schemeClr val="accent6"/>
            </a:solidFill>
            <a:ln>
              <a:noFill/>
            </a:ln>
            <a:effectLst/>
          </c:spPr>
          <c:invertIfNegative val="0"/>
          <c:cat>
            <c:strRef>
              <c:f>Pivots!$A$63:$A$78</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Pivots!$B$63:$B$78</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5455-4097-9971-44B870E2D8D6}"/>
            </c:ext>
          </c:extLst>
        </c:ser>
        <c:dLbls>
          <c:showLegendKey val="0"/>
          <c:showVal val="0"/>
          <c:showCatName val="0"/>
          <c:showSerName val="0"/>
          <c:showPercent val="0"/>
          <c:showBubbleSize val="0"/>
        </c:dLbls>
        <c:gapWidth val="150"/>
        <c:overlap val="100"/>
        <c:axId val="1308992895"/>
        <c:axId val="1309015455"/>
      </c:barChart>
      <c:catAx>
        <c:axId val="130899289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r>
                  <a:rPr lang="en-IN" b="1">
                    <a:latin typeface="Cambria" panose="02040503050406030204" pitchFamily="18" charset="0"/>
                    <a:ea typeface="Cambria" panose="02040503050406030204" pitchFamily="18" charset="0"/>
                  </a:rPr>
                  <a:t>Days to Deliver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9015455"/>
        <c:crosses val="autoZero"/>
        <c:auto val="1"/>
        <c:lblAlgn val="ctr"/>
        <c:lblOffset val="100"/>
        <c:noMultiLvlLbl val="0"/>
      </c:catAx>
      <c:valAx>
        <c:axId val="1309015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r>
                  <a:rPr lang="en-IN" b="1">
                    <a:latin typeface="Cambria" panose="02040503050406030204" pitchFamily="18" charset="0"/>
                    <a:ea typeface="Cambria" panose="02040503050406030204" pitchFamily="18" charset="0"/>
                  </a:rPr>
                  <a:t>Transactions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899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Viv Calif Retail Sales.xlsx]Pivots!PivotTable13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latin typeface="Cambria" panose="02040503050406030204" pitchFamily="18" charset="0"/>
                <a:ea typeface="Cambria" panose="02040503050406030204" pitchFamily="18" charset="0"/>
              </a:rPr>
              <a:t>How happy are our customers? </a:t>
            </a:r>
            <a:endParaRPr lang="en-IN" b="1">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Pivots!$X$2:$X$3</c:f>
              <c:strCache>
                <c:ptCount val="1"/>
                <c:pt idx="0">
                  <c:v>1</c:v>
                </c:pt>
              </c:strCache>
            </c:strRef>
          </c:tx>
          <c:spPr>
            <a:solidFill>
              <a:schemeClr val="accent6">
                <a:tint val="54000"/>
              </a:schemeClr>
            </a:solidFill>
            <a:ln>
              <a:noFill/>
            </a:ln>
            <a:effectLst/>
          </c:spPr>
          <c:invertIfNegative val="0"/>
          <c:cat>
            <c:strRef>
              <c:f>Pivots!$W$4:$W$7</c:f>
              <c:strCache>
                <c:ptCount val="3"/>
                <c:pt idx="0">
                  <c:v>Jan</c:v>
                </c:pt>
                <c:pt idx="1">
                  <c:v>Feb</c:v>
                </c:pt>
                <c:pt idx="2">
                  <c:v>Mar</c:v>
                </c:pt>
              </c:strCache>
            </c:strRef>
          </c:cat>
          <c:val>
            <c:numRef>
              <c:f>Pivots!$X$4:$X$7</c:f>
              <c:numCache>
                <c:formatCode>General</c:formatCode>
                <c:ptCount val="3"/>
                <c:pt idx="0">
                  <c:v>7</c:v>
                </c:pt>
                <c:pt idx="1">
                  <c:v>8</c:v>
                </c:pt>
                <c:pt idx="2">
                  <c:v>6</c:v>
                </c:pt>
              </c:numCache>
            </c:numRef>
          </c:val>
          <c:extLst>
            <c:ext xmlns:c16="http://schemas.microsoft.com/office/drawing/2014/chart" uri="{C3380CC4-5D6E-409C-BE32-E72D297353CC}">
              <c16:uniqueId val="{00000000-4585-4994-A006-D9F0B22F90E3}"/>
            </c:ext>
          </c:extLst>
        </c:ser>
        <c:ser>
          <c:idx val="1"/>
          <c:order val="1"/>
          <c:tx>
            <c:strRef>
              <c:f>Pivots!$Y$2:$Y$3</c:f>
              <c:strCache>
                <c:ptCount val="1"/>
                <c:pt idx="0">
                  <c:v>2</c:v>
                </c:pt>
              </c:strCache>
            </c:strRef>
          </c:tx>
          <c:spPr>
            <a:solidFill>
              <a:schemeClr val="accent6">
                <a:tint val="77000"/>
              </a:schemeClr>
            </a:solidFill>
            <a:ln>
              <a:noFill/>
            </a:ln>
            <a:effectLst/>
          </c:spPr>
          <c:invertIfNegative val="0"/>
          <c:cat>
            <c:strRef>
              <c:f>Pivots!$W$4:$W$7</c:f>
              <c:strCache>
                <c:ptCount val="3"/>
                <c:pt idx="0">
                  <c:v>Jan</c:v>
                </c:pt>
                <c:pt idx="1">
                  <c:v>Feb</c:v>
                </c:pt>
                <c:pt idx="2">
                  <c:v>Mar</c:v>
                </c:pt>
              </c:strCache>
            </c:strRef>
          </c:cat>
          <c:val>
            <c:numRef>
              <c:f>Pivots!$Y$4:$Y$7</c:f>
              <c:numCache>
                <c:formatCode>General</c:formatCode>
                <c:ptCount val="3"/>
                <c:pt idx="0">
                  <c:v>37</c:v>
                </c:pt>
                <c:pt idx="1">
                  <c:v>51</c:v>
                </c:pt>
                <c:pt idx="2">
                  <c:v>39</c:v>
                </c:pt>
              </c:numCache>
            </c:numRef>
          </c:val>
          <c:extLst>
            <c:ext xmlns:c16="http://schemas.microsoft.com/office/drawing/2014/chart" uri="{C3380CC4-5D6E-409C-BE32-E72D297353CC}">
              <c16:uniqueId val="{00000001-4585-4994-A006-D9F0B22F90E3}"/>
            </c:ext>
          </c:extLst>
        </c:ser>
        <c:ser>
          <c:idx val="2"/>
          <c:order val="2"/>
          <c:tx>
            <c:strRef>
              <c:f>Pivots!$Z$2:$Z$3</c:f>
              <c:strCache>
                <c:ptCount val="1"/>
                <c:pt idx="0">
                  <c:v>3</c:v>
                </c:pt>
              </c:strCache>
            </c:strRef>
          </c:tx>
          <c:spPr>
            <a:solidFill>
              <a:schemeClr val="accent6"/>
            </a:solidFill>
            <a:ln>
              <a:noFill/>
            </a:ln>
            <a:effectLst/>
          </c:spPr>
          <c:invertIfNegative val="0"/>
          <c:cat>
            <c:strRef>
              <c:f>Pivots!$W$4:$W$7</c:f>
              <c:strCache>
                <c:ptCount val="3"/>
                <c:pt idx="0">
                  <c:v>Jan</c:v>
                </c:pt>
                <c:pt idx="1">
                  <c:v>Feb</c:v>
                </c:pt>
                <c:pt idx="2">
                  <c:v>Mar</c:v>
                </c:pt>
              </c:strCache>
            </c:strRef>
          </c:cat>
          <c:val>
            <c:numRef>
              <c:f>Pivots!$Z$4:$Z$7</c:f>
              <c:numCache>
                <c:formatCode>General</c:formatCode>
                <c:ptCount val="3"/>
                <c:pt idx="0">
                  <c:v>150</c:v>
                </c:pt>
                <c:pt idx="1">
                  <c:v>182</c:v>
                </c:pt>
                <c:pt idx="2">
                  <c:v>163</c:v>
                </c:pt>
              </c:numCache>
            </c:numRef>
          </c:val>
          <c:extLst>
            <c:ext xmlns:c16="http://schemas.microsoft.com/office/drawing/2014/chart" uri="{C3380CC4-5D6E-409C-BE32-E72D297353CC}">
              <c16:uniqueId val="{00000002-4585-4994-A006-D9F0B22F90E3}"/>
            </c:ext>
          </c:extLst>
        </c:ser>
        <c:ser>
          <c:idx val="3"/>
          <c:order val="3"/>
          <c:tx>
            <c:strRef>
              <c:f>Pivots!$AA$2:$AA$3</c:f>
              <c:strCache>
                <c:ptCount val="1"/>
                <c:pt idx="0">
                  <c:v>4</c:v>
                </c:pt>
              </c:strCache>
            </c:strRef>
          </c:tx>
          <c:spPr>
            <a:solidFill>
              <a:schemeClr val="accent6">
                <a:shade val="76000"/>
              </a:schemeClr>
            </a:solidFill>
            <a:ln>
              <a:noFill/>
            </a:ln>
            <a:effectLst/>
          </c:spPr>
          <c:invertIfNegative val="0"/>
          <c:cat>
            <c:strRef>
              <c:f>Pivots!$W$4:$W$7</c:f>
              <c:strCache>
                <c:ptCount val="3"/>
                <c:pt idx="0">
                  <c:v>Jan</c:v>
                </c:pt>
                <c:pt idx="1">
                  <c:v>Feb</c:v>
                </c:pt>
                <c:pt idx="2">
                  <c:v>Mar</c:v>
                </c:pt>
              </c:strCache>
            </c:strRef>
          </c:cat>
          <c:val>
            <c:numRef>
              <c:f>Pivots!$AA$4:$AA$7</c:f>
              <c:numCache>
                <c:formatCode>General</c:formatCode>
                <c:ptCount val="3"/>
                <c:pt idx="0">
                  <c:v>312</c:v>
                </c:pt>
                <c:pt idx="1">
                  <c:v>373</c:v>
                </c:pt>
                <c:pt idx="2">
                  <c:v>351</c:v>
                </c:pt>
              </c:numCache>
            </c:numRef>
          </c:val>
          <c:extLst>
            <c:ext xmlns:c16="http://schemas.microsoft.com/office/drawing/2014/chart" uri="{C3380CC4-5D6E-409C-BE32-E72D297353CC}">
              <c16:uniqueId val="{00000003-4585-4994-A006-D9F0B22F90E3}"/>
            </c:ext>
          </c:extLst>
        </c:ser>
        <c:ser>
          <c:idx val="4"/>
          <c:order val="4"/>
          <c:tx>
            <c:strRef>
              <c:f>Pivots!$AB$2:$AB$3</c:f>
              <c:strCache>
                <c:ptCount val="1"/>
                <c:pt idx="0">
                  <c:v>5</c:v>
                </c:pt>
              </c:strCache>
            </c:strRef>
          </c:tx>
          <c:spPr>
            <a:solidFill>
              <a:schemeClr val="accent6">
                <a:shade val="53000"/>
              </a:schemeClr>
            </a:solidFill>
            <a:ln>
              <a:noFill/>
            </a:ln>
            <a:effectLst/>
          </c:spPr>
          <c:invertIfNegative val="0"/>
          <c:cat>
            <c:strRef>
              <c:f>Pivots!$W$4:$W$7</c:f>
              <c:strCache>
                <c:ptCount val="3"/>
                <c:pt idx="0">
                  <c:v>Jan</c:v>
                </c:pt>
                <c:pt idx="1">
                  <c:v>Feb</c:v>
                </c:pt>
                <c:pt idx="2">
                  <c:v>Mar</c:v>
                </c:pt>
              </c:strCache>
            </c:strRef>
          </c:cat>
          <c:val>
            <c:numRef>
              <c:f>Pivots!$AB$4:$AB$7</c:f>
              <c:numCache>
                <c:formatCode>General</c:formatCode>
                <c:ptCount val="3"/>
                <c:pt idx="0">
                  <c:v>224</c:v>
                </c:pt>
                <c:pt idx="1">
                  <c:v>247</c:v>
                </c:pt>
                <c:pt idx="2">
                  <c:v>250</c:v>
                </c:pt>
              </c:numCache>
            </c:numRef>
          </c:val>
          <c:extLst>
            <c:ext xmlns:c16="http://schemas.microsoft.com/office/drawing/2014/chart" uri="{C3380CC4-5D6E-409C-BE32-E72D297353CC}">
              <c16:uniqueId val="{00000003-4334-4688-AC22-7A79509BD208}"/>
            </c:ext>
          </c:extLst>
        </c:ser>
        <c:dLbls>
          <c:showLegendKey val="0"/>
          <c:showVal val="0"/>
          <c:showCatName val="0"/>
          <c:showSerName val="0"/>
          <c:showPercent val="0"/>
          <c:showBubbleSize val="0"/>
        </c:dLbls>
        <c:gapWidth val="219"/>
        <c:overlap val="-27"/>
        <c:axId val="1274704367"/>
        <c:axId val="1274722127"/>
      </c:barChart>
      <c:catAx>
        <c:axId val="127470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722127"/>
        <c:crosses val="autoZero"/>
        <c:auto val="1"/>
        <c:lblAlgn val="ctr"/>
        <c:lblOffset val="100"/>
        <c:noMultiLvlLbl val="0"/>
      </c:catAx>
      <c:valAx>
        <c:axId val="1274722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704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IN" sz="1400" b="1" i="0" u="none" strike="noStrike" baseline="0">
                <a:solidFill>
                  <a:sysClr val="windowText" lastClr="000000">
                    <a:lumMod val="65000"/>
                    <a:lumOff val="35000"/>
                  </a:sysClr>
                </a:solidFill>
                <a:effectLst/>
                <a:latin typeface="Cambria" panose="02040503050406030204" pitchFamily="18" charset="0"/>
                <a:ea typeface="Cambria" panose="02040503050406030204" pitchFamily="18" charset="0"/>
                <a:cs typeface="Calibri" panose="020F0502020204030204" pitchFamily="34" charset="0"/>
              </a:rPr>
              <a:t>Where do our customers live?</a:t>
            </a:r>
            <a:r>
              <a:rPr lang="en-IN" b="1">
                <a:effectLst/>
                <a:latin typeface="Cambria" panose="02040503050406030204" pitchFamily="18" charset="0"/>
                <a:ea typeface="Cambria" panose="02040503050406030204" pitchFamily="18" charset="0"/>
              </a:rPr>
              <a:t> </a:t>
            </a:r>
            <a:endParaRPr lang="en-US" sz="1400" b="1" i="0" u="none" strike="noStrike" baseline="0">
              <a:solidFill>
                <a:sysClr val="windowText" lastClr="000000">
                  <a:lumMod val="65000"/>
                  <a:lumOff val="35000"/>
                </a:sysClr>
              </a:solidFill>
              <a:latin typeface="Cambria" panose="02040503050406030204" pitchFamily="18" charset="0"/>
              <a:ea typeface="Cambria" panose="02040503050406030204" pitchFamily="18" charset="0"/>
            </a:endParaRPr>
          </a:p>
        </cx:rich>
      </cx:tx>
    </cx:title>
    <cx:plotArea>
      <cx:plotAreaRegion>
        <cx:series layoutId="regionMap" uniqueId="{58CF7955-8B8D-4EDE-984B-066C32DAED83}">
          <cx:tx>
            <cx:txData>
              <cx:f>_xlchart.v5.2</cx:f>
              <cx:v>Sum of Quantity</cx:v>
            </cx:txData>
          </cx:tx>
          <cx:spPr>
            <a:ln>
              <a:solidFill>
                <a:schemeClr val="tx1">
                  <a:lumMod val="95000"/>
                  <a:lumOff val="5000"/>
                </a:schemeClr>
              </a:solidFill>
            </a:ln>
          </cx:spPr>
          <cx:dataId val="0"/>
          <cx:layoutPr>
            <cx:geography cultureLanguage="en-US" cultureRegion="IN" attribution="Powered by Bing">
              <cx:geoCache provider="{E9337A44-BEBE-4D9F-B70C-5C5E7DAFC167}">
                <cx:binary>3H1rc9s4Eu1fSeXzpYcASALY2tmqJamX368kk/nCUmyFBN8kwOevv03bk7EoOaGrRrfuSrNbux6p
ySYP0Og+3Wj8+6H910O8WZcf2iRO5b8e2t8/Bkrl//rtN/kQbJK1PEnEQ5nJ7Ls6eciS37Lv38XD
5rfHct2I1P8N68j47SFYl2rTfvzPv+Fq/iY7zx7WSmTpTbUpu9uNrGIlf/Ld3q8+rB8TkbpCqlI8
KPT7R2cdi+9ZmYr1x+3v8O8f/xuvk83j+oOTVanqPn7YpEqo7r7LN79/3LoO/vjht/HtdlT7EIP2
qnoEYUJPmG4wzCzCnz7044c4S/2XrzWE8Qmm2KAWXPn5rpegyrs0etJn/fhYbqSEJ3v6390LbD0G
vI3//votPAxvYwDAByx+//gpFWrz+OFOrdVGfvwgZPb0usrOyYZH/XT39G5+24bwP/8e/Qt4W6N/
8wrl8av91VfbQP4S5FykmwNgzE4sTkwLmcYzxmyEMeInFD6mSY0xyFM1egvjLflJEG9JHBvCyfox
Kw+CMIEpqmMGAG5PXx2gxZgTnevDB40AnqzQGwBvy08BeFviyABeJfmmFOv4ABDjE8oxMw2CnoDU
yQhpZJ6YlmmaCMbBHqTfo9l+rHeuMAHtHZkjw9uulDqExeYnJsLE0N+y2BidmKZhIYRHE3qyQvsx
3hafAPC2wJGh62TgXgxOl1SHcL3YiY4Y54TQ/csyuF6IGMykCBbs177Xe/Xaj/Xeq0yAfK/csSG/
jtf1plzLAxhydoK4hRGm9NmQg2M9XrItpnOY/tYI9vco9QbmO5eYAviO0JGhfV9lcZUcxPWmJ5xh
bhjGs/s1+F9jsAnDCDEM6/nrOf4enfZjvXOFCVDvyBwZ0lflOvUPsWAT8M6QwZj1VogFcbYJTrg1
9sCna7Qf5ZH8BIxHEkeGsLuJP1xmwNb885bbQCfUNCCcGlbt4bPDlRgnWDcIcCUjsuRdSu3HefcS
E6DeFToytB0w3PIQvhkHJGEJBs7kjUUan+g6IxY3zG27PV2j/TiP5CeAPJI4MoTvq3hdHmAyE+uE
EB1h/YUY2VmZgRTDnDGGzJ2VeapG+xEePdEEhEcSR4bwRfaYPRzEWoPTxU2OrGdrDd702PUyDQwR
NhoBPFmh/fhui0+Ad1vgyNCdxR/crATa859HmLATirll4pfUBee7CENoDW6ZuZcSe5dq+7HevcQE
vHeFjgzzu3X6wd6U6bp8FOkhgDdOECy+iIEFf/rscKEUbLehcwoj4nVQ9X7F9sP+xnUmYP+G5JEN
gPNMfvgvBFrx5hAEinGimxgTZpjPhn0nncVOsEEgIYKeGZYRRfpO5faPgH0XmQD/PrEjw34Oad6D
THrrhBIEGQ6EnmEfW/shi8lM+AeNXPLpGu3HeiQ/AeaRxJEhvIg3aXqA5RySHlg3Ecc7nhoQ4Zwh
SsxRXD1Zk/3AbotPwHVb4MhgvQYO9CCENz/hxKLgpr1M3B3aRD/hBgNPnYwm7nSN9uM7kp8A8Eji
yBBeVsm3LH5U//zcNaDMgFnIMHbnLvhqFiI6lBg9m+1tj+w9Ku0HeecKE2DekTkyoC+yg6zA4FdB
jRCzXpDc4T8HygQzxqk+8run6rMf4S3pCehu/f7IkF2l3SECKguqADGsvvQlfbHjWw1JS25ZwIdt
z9+p+uxHdkt6ArJbvz8yZK/j9cPmMLVhMCMHFuQlBTkOlqGWBHCHsiL8w69+HTNP12s/xiP5CSiP
JI4M5zMgRv75BZiYJ4Q+FQw9U1376Oyh2gQRDO7Xa3yn6rMf3S3pCdhu/f7YkIV68UPwHZCpgGIR
bPzFd+wYZ35iwXdQCzaGdqpCb2C7JT4F3C2BI0P3fB0dIg3FTyBjDEQVVOg+fXaqgfAJRyayGB1V
A03VZz+2W9IToN36/ZEhC5zsUN8HWb1DZJIp5BkNCvC+eM1jthKW3yHLaJjjTPI71dqP876LTIB7
n9iRoX6+lnJzgJUYQmEDdlowDqnlp8+Ov6WDuWbAeFgjcz1do/1Yj+QnwDySODKEL9aPUMJ5AF/L
OoECTiAj6UtxyJ6iPt2Cyl0DjePgyRrtR3j0RBMQHkkcGcJ3wHMkh0CYnRiEW5zilxrdnTkMuzGQ
aRmA8bY3PV2j/QiP5CcgPJI4MoQv1qU4gJGGbY+cGiZM4JfagZ1VGZ+YkGC2KB8RHpMV2o/vtvgE
eLcFjgzdFzejrPrDWGlqIEP/q/5nD8SwYY5BAdjIs36fVvtx3nONCWDvkToyxIfhnGcHKdmkJ2CN
YU1mL47XeFUGdppbBmVg0/dlIt6j2X7Md64wAfEdmWPDe5NCdd9hqoD4CRroakpfdkSOAccEinip
RciQqHhNeV28R6k3sN65xBSwd4SODu3yAXbgOwfoUkB0i1s/Uk87thyCLoY4VPwYTzHXqOTnYjNV
r7fQ3pKfBPWWxLHhDBsjN+WmOwDS1olFLUqJ/pbnjU4scLwtMm5IAVm/yTq9gfL4ClNwHsscGdKX
6/ww8RWG4MoAyvoNjgS6jgBFosNivm26p+qzH+Et6Qnobv3+2JDd1OuDdJSBIgALU0b0F3ZkJ3aG
fCOCfTPG2O++nKzRG+huy0/Bd1viyBD+DD5PdRACDPa5MSjA1t/auf60dwYyypY+ip7fodJ+jMcX
mADyWOTIUL4VsFFdisdDJKcI7F7WTUJecsq7SWVIbsA2dkg8jojOdym1H+ndS0zAelfoyNC+Wz+U
0H8rVYeoAmInJoVOUQZ0H3j6QNi0vWMKnRh8+AcKDYbPyMt+n277Ud9zjQmw75E6OtyHLTXQ4OwQ
uEP1l4mHhjMvGyrGBQaQojR0rEN95y5T9g6t3kJ858kmIb4jdYSIu2LjHwLwp+wFNaGf1GiGIwrV
uoTBzqqXobDtfQM/+WGyTm/DvX2JiWhvCx0h2HPoTfEg5EP21zv/Z9o7UmC4KVQYPJv0namNTwxo
cWkyMlrBB6h/aDQlzn8b7t3LTIR8V/DYYA/WB2ktBTUI0MsRJjJ5q8cQPoFZrjM21Ou/pkbvJmv0
Bt7b8lOA3pY4NoRhGp1m66I6VBYTcpgGhin89NkTamMOhYOcP8fiOw7bu5R7A/E9TzgF9j1iR4j9
eSXkh6tvQuaHWMdNiMOxBWQK2Pjhs5MBgVIjiN2gTeAe6/5O1d5Gf9+FJo6AfaJHOAouoCPxIfB/
SnlSKC588dZ2AjagUTHUFnJjz8yfrNTbyG9fYiLm20LHhzbUktrr8tthqkmNwV0bylLe3gRtcUYM
BK2Jnj6j5f2p1PUd6r2J/Z6nnIb/HsFjGwNiUx6EdoUN0pYO7QLZM/2y0wIY6yfwJQwPtn+5n6zX
G6hvy0+Be1vi6HCWkeiyakp09L6u/EOnOQJBGf6rK/+esM2Cju4mlJmOJriYrtNbKI+uMAnnkcyR
IX0PRYhw3sIBgIZ907C5B5z4F3O9ZwUf0qBgzkcr+DtU2o/z+AITYB6LHBnKd1m8Pti+adh/OVQ1
7HfToZmgwcFo7/CrkzXaj/HoiSZAPJI4NoTVOhUyXleH2KZHYVuHDj1KrLd2ckHeWx8aE9FRUhQO
LHmHVm8gvXuNKWjvSh0b4kOD/kPsqobiQ4IxtPF+ccTHTDrkTCzIqQD3MmbYJmv0BtLb8lNQ3pY4
MoTvN8H6EHtAgEOFozQsaDX2Rqg1nIwEgRacwvDMvo0X6Ml67cd59FwTcB5JHBnOX7P4EBQKnI1E
oesF+FijVBhMYPiCIuhes+1iT1VkP6xb0hNA3fr9sUFafVv/8z41GerCEfSJgz40T5+dLdVweAps
p2aQIBkhO1GfN5B9LT0F2de//x9A9ucqbj3wcNDZf/96t3vSmO8/pA769FoWkF77HWioN7MQbNYD
3PexXq9P1ntOdu3TaT+qr2W3nvH5EX/+Ug5zBN3bx9P9OOnPXav17OmMwFcn1P3826fHh7MNR6Iv
2cF9L+zlq9Xj7x9NIKBfgTpcYyut+PotPiPwt9QGcqC/f9QQgk5hQ1NPHdrnm9DHES7YbJ6/wkB7
DuWk4GAzGAUDm51Cj//g948GhE5oaEmlD9BDZ37ww2RWDV+RYQsfXBAS4AwSodD75Mf5jddZ3PlZ
+uOFvPz9Ia2S60ykSv7+EcE98uefPamqmxwWeujDYEEURyDlButF/rC+HVpewK//j+pJlhdV1V6m
DeGzuvGC3M5ISCMnok19Y2lmdxq2dRrNdD1SX1Vm1J8iQ7aFLXlafHn19vZpA7zAWBvobwttQWDD
AxzfOKxRr7Ux0i6PeFDVl7hI0aUf9alnVzSzAqetVcbtujGqr7TONWGXCVOFU4Rl5NteL6nhQL+g
9JErpV/BNYLKxXGMPvWmxtCis0xvgzoNtfOfa4xhY+yOxlDaD/viuUmhHZw+0ljQALDt1CVpTd93
rbaPP9UQFZO5ol1m2nXXotAV1GN2T61O2F2kk0VSlx1yyzpTj0ErJXKElpuuhMM5a1slgV7btDQj
f+ZnYXAdVfw0kTyQLqwM/LMMirMobsx2JqRmXYgyqJPFz59qFwbonKTDwWxw5gMUzjw99KtBQTvN
b7Q8lpep8vjnzGcI20aEYWjkadVeN23J73IPxX/8/LbDWHs9FmGfCxwKRQmcUAAbWDEZ1Hp1W1Nv
fSOXfnqZsh5doiioLlNZOoJ5weef3wmmz86dONR+UWhXAAsqG42zPDW6viiD7JLlurEumqyMF55i
HbajPJjpRRX3DtE7ljkhMZvkV4NmGBTbDwoDBRqTGXAYEnQRHN8eGBUR+GkiLmkRmeskrMx1FA86
mH0iZ1aZZXanA/SLJi4abBdRRjcq5nLV8M44by1S6g5pwixyQpomn0iZY+IGrOs2uVbnrq71CXVM
nhnl0iRWX9k/f3tD59mx/nQwG5CNgTNUwc/cBkq3KjM1TU+7QJWXrEWppG8jLVKpYZOuS/3TJhDR
N5/x/Lzti2BuZUYrHIxq+l3Rvs+cLvCpY2RhvREloY+1mQf09OdKGuYOyMQgMIgGChJyhSYFt+j1
cLJKJvQyUOQiNIrc48xVPOgXrWoJn6u6qpyyLfSbOunMyg6CgDolShcSl/kiNnLsRHGR3OaxmbQ2
jRv/SxMm2aqTStm5WeSfLBkx1ytSz6myMBS2UCRsbC+U6WWTa/Kq0Hoy833EQ1vrvTRxcB0kS9NS
8S0O/Wu/S0lrxxUtLpVX3CucaMS1agwvUnQYbINR9b2tNyw8jwOTffX0yjgNLIbOe7+tudPogZHA
GRqdWGms7BK76VjvosbU3D5sH3JZqLtK12hgN4mic08W1crwML4vAtREC49qSNh9EHnfoMdLWdsi
LbQ/q4Qmbp5LvIqyNF+hgsePos4tmPckie4E91pq14Xhn5ZeWTkdvIcFMjC/KpqknRlNWcwRalE9
i+H0N9+pG58VTo0Db5ZIUrpVzq8CT/N1F6FMLWGpwY2T6qFlM0XjP9pED85wyfM7kyhzUfFQw3Np
Jf2aWVk5k3ob9vM6Yv5ca1t9jWXcfJd+nptOj5Ve2amPa3/eqjCDydE0s86vKzYvMy9wY0WSZQo/
tWEvbZnBi05qaocyDDWHeg21aWa2vW2o2HOI0tJkUVrRzDeqTr9pCDLgvONSj+0QRpKaE9VwuWgJ
bc+tqO9j76ZqCpUkdifiLi0fAy/AuP8qG62lSWDzEkx59oC7JFSkhJMHqyrXL1Wkkqg95aLoFzWv
lLdKSiFyO8RxdqdTjazCjpDKqQADz+4KnbcAV8KYm3oerIcqjppiZkWNrztlrJB3FRS6RbNl1NEm
cLs25urckorAiGq8DMnGqWAtnFtaEHpXNUwdy3cKljMYcCSSyTyNRcntuIDFy5u1tbAczQPP1bQ7
T08NOEzQSxIn4FXjzZuYxslMeuAVzM3UT3qH9SZYzBRHRuUkQanFdi07X15LoSXJLPMF+65VNRW6
q2dYLYTBKnZpap7vnaaEKmqGTtrKou+WEnJDZTDL/YAmM0/WfTHnpUzFvIutpFvqUia5Y+IuFg5t
zS5elKIQmgOw4i9anvTIhbr/KHHhv7p2FYe6JuGVp+mXMEl4siIlV/EsCpR121eKkHmoZRidBU0g
aWrTAAdq4ZV1nt7BYkxOQ7/H0bzKQYNZpmK/nzHU9txhYZc3FwnrYGhrMFVK10OoOi2Jacau7xG/
cmlaA5yCSvBP0j4k/SaOoDmHy0CBxCVdEhQrpAtj6QsaWQ6OooK4IhOe21deZNpaU+b8OvSa0HCI
KMLeTvKw1850LzbmKPd8E9TlNJ+hLuizVSBQ488ibgSNPfzORlzwFIaPTwqnbYTW26oV2p8ldOLs
NFvAPMKXqE9FL2xWGxq57+IGV5dWzrvMTXmhLswqhSXJlzQCAZ4QeFueCFD6tUdxGpwWXRK3c9mY
vThDylf3RojNtdl6iWczBIN3XqUtJTNp9QKUr1CYuDEpIumwxpsJJIqvcdOAZxH6YX0nTav5lpcB
Wda08b0Zi0wd2ynz4DpmnIXtPC1rdNm3OTFupDLRPVIa/KKxNMkchTrazmqchGJZthg3q5T6El8J
jfLPqV4MgzMMC7mgsQzkddsZijl60QA2QZOCYpkEo3sGKxj/TJgOozsBK1m6sDm3zVZKcg9fh2UV
RbeYpdxYtUbYVBeqVYPzGXTttRlpVjvLmgRunWV9X9stTlS/0CM6PPygegP2CfTKE3RpmCk8RVWY
8KqCKIt6h0c1TJ089iNxk5YUpnxZgVfgw3dgU7FKg6sCGV2Z2iQPdIC7KdvqItGCXNpCr4p23sLW
UzLr6gIPRgMmkwNPBAak5Wjwk1WafPbgyJFTVgvBbBaYEYyLzrfWTUpAjbYMu1uiWl2e+eDmhmdZ
nkbhHYPVYiFTHV0W3C++Qj29VdiBEQh8mjGfV2dekPm125W0aMDB7cgix/BaHZ0W3UMUR+Z1W0k9
WxZ6V0dfGivx5TLxtOR71/PBhogiDlyIAxiZCdwFcp5bCf+i6V4yT5rcL2xqgJnryia4FZmSZzyJ
QtM1cYl9MHtwrJldB5h/LkOt9mcxTmGa9JpH+MpIM1RsEjDI3Sn0YIe50QwWexaaGrzRtu7rGSwy
TXGGygpbjsdjVcNKS2odXO8i/LPkNb/XOnDTT3uuSvSoZNpJO0GI1ivRYLhUm6Cgd4zGt/xVDrA0
jhZxa95nda0u2o7Gd2EtC5tRuTSStjaXfWMBOJGOZL/I4yjLLlKrNc41pRvZLCjSpD7zuyYPHGbK
JLgHT0Q+6jwFMwKmU9Z2FMhG2rypWQGrQFfcxX6BxB8o6wmr7R48sO5TrojG4WLSK2cB1SL/VPPy
5lvg61rtxFRa0UpwHd20UvP6RVkVUsxEX8EgFViF5LqN4t68TKw8ju0ir3XrwkCB0TodeDdy1gQ5
oNawVPh22dMEbIeU8Qy1pC3dOsasXPSsgNEfGa1P3c7rdOl4ubSKL43ZofswKGGswUrHP8NYT+R1
ylMEBhbnPJyzJLAau62+YlY1DNlRVNNPJk6Lxm1MXxkXhhez+rbwJC9hcYcRPcsFATQhcOjac0FU
lJ3TMg/INW712Fp5bcbhudpW8y+iUssbN5Ee2Azwxip1Ecce6F/yyJ/LgEWB27S6vuoKA+Z9Z1lU
2IYX0Isnr/SFu7h+dvKfA/CHLO9K4Qdq9Od/7rME/vPvQebHb55oir//uhAPZSaz7+qnv1psskvY
NSXHP9q6Mtz9RbuBvtj6Y4dKeYMsud3IKlZvfPk2k/Jjj/PANMCOaGJCovCVE79Dp8BCrDZ/8Wvb
Qn+xKUBfQ++LoRZMH/JUFmShfrApwJkAVUahKzAlELRCOPAXmwI5D+BNIRCApjhQZGZBvPIXmzIc
h2bCcUrAzRDouMGN97ApBMiX7cjIHCJYC7gZKH+A41EH/V7HHHXeSvCIAnIlW0N3+rZeNZ1RuCgk
xC6tYp4RXNml6r5Q3BNX+sZDSdi54l3kmoPRC1vPWKgyOFNNptupnl5ooV7arM8rt5X1ZVta0jV4
mTlZVn3rePo1EP4MVuLbyAgXaadOMcG3RZ6Hdlh0lc1zLO0S4fM0AZ/C1+gnGfHMiXmiwBx5n/os
/GKCr2XDotU6VptcmT65Qo0140V2SuNiFZk9WfW1VzpVhJlTB+0CeJkZZvl3Iw9uq8Y3T1PfW8Bk
+MZEZ3PZf25lktkRTrBNwK+xLSNJXZJ7jt5mlUPz4HODqj+jtjacIAqWuMpSO5e0tJMAHGRVq9QR
ObmMkuI0jgxiN2X5vagDZLdappw+ZlciKXOn8Yur0Kzz0zZRYEOE57s0ySIwk6XvcN33LqWV6S74
rL1lF0b/neE6uqwN+tALeLm5lwQ3GCyUHchyEyidX4RZvDK5BhYC590iSCW7kqJNZpQ2gFoVGHbp
K9+JkrYBryUN7DpE1kLUrW9bJRh4o6X+je4TtOjz0LcLX8R2khLfhngks0VC/JnexeGSkDaeaULg
RRgMTEMPcbPVwrqmZxksjx5yUdvpEIZKMTf03JsbDYlnZaLwQmUkmaUkPEdpcdar8CpK0Up1fu+K
hH33egimQpoYM00K4nZVF86QR7tFVPnxTA8DBi8CdTNY4vhChZZvh21ZLTiG1SXxS6AOwC+7TRvK
FlVuBjPYDB0udd3z3LqOiS0J0W5iKNy2kx6etGgtyxaWbs2Zrykn7Bpmd5mfzzTw9sB8R+LUlLJZ
+Di477C8rio9nQUa6+xM5XCkgwTfJbAgwii4cZpzSWwfDQxZP7wigdM/G2mGn1JwbW0Z8HTZVUAH
4tbP7NhL0ZXJAnDf8t4DE0/hHZdatWQN2O2gMRpwwCvxGCWC2npIvVntJ9pSV+G8MuOZ56Uc4mKI
axOeljYEQ4nNjLCytbBhbpknsWPVoXXTo/YmbKtbq0mimcQhEk6M40sIjtUS/KfvKu2/KVQHc5Wj
yo55XF4IWAsd0lpuXBbWyuoa79zSaL1gXmrcYq36LHimNFdXVestAtwiZIsqf2hAK9prEXiTYWxL
FhQLTXT3SGvQvA18y9Frfpom2Jo1TYdsXlcrOEK0s3OgUyAW9GciTbVTzdCXgpBPtQyVI/3gPinC
Uxqm1w2VjqbRC2n+6VF8VmVW/UcXxZvGUuetoWl2WgJLyZqqOa8gEFpyrkJblCKy/Ug/x3C3IA/O
6tr4XkDc4KA+vtAbHdk1p597BrSPCHtmK5k8SgpcEISKqyzsboBeP69MATxFUBM3TVi2iAQC37gO
TLftstauBaVA5SarVOLcoZKY864DCFGRXFWafxe33p96Vn3NDTAPTM9rl0blmWjQuo0sayYjAjSD
zPw5qtACCQJcmVHO6lBim/YosWNZX0jWfKmg6NClmnHNW8rsLKHpipkm/FLpoV1Fce3kKjurQn0J
Lkbq1IY3D/WsuBJcdXYIYaSttdxVLZwS5VmRbdbChSjf+hp5VWLOsrS9SLF6yAy6SivzD/AszJVI
kB2W/TfgQyDqz9olPHQ8DzAwFQnq3diil0EIVoZnmo3Lxom4ltl1hpZaYS27pnBDLIA7Es0N8Pvn
MZbE8UT8TTG+pCm5RH6+0Ixi4UO0D5g6bYzgb3MdMCEcKarvUtBroA/VrM66lUqMYFbR2NGM6AYi
NA3WgsqJSXcWqPgm4ZqLRHAfA+UcWOmSVnHqVom4j4VywD0u7dST1E66fukBAyVih+myhQwAdgjW
N16VdjasY1q3kAxLdi2SKHZ8K73VRVnODuJB/e/5RgR8hd9eO1lbqaatjYu7PtIg/MNHGrrMQPYI
ckvA0tKhW+sPH4nAEYOUgQtEwEt5Siu9+EhD60hoXmPAubE/pP7ykaAEDEhAk+kIHB446tt6j4+0
kzCB24NjBFW+w0UNfeQhmTEcQBx6ZX/Vqy8Fg/ROr35BTw9X+JtdH4rEoZCcgZsIzCNkEoxBg1dp
hD73rBxoAgQ+mGaXOtAHwpbmY10vXwHw4sq/zp1tP8nufQaW/NV9Mg3lRSlMWIjy2kHleUMff34D
vM2z795hlBDxUZHiKoAnwQPvanyi/HumdQ7XrngF8SvWHVl/zatlJa5V5gFzvAmDue9f4+xGpXd+
k9uqOLNMfwarj+0D4xDeNUngtjz5xatA4Mf/9J0PXPyrd0GE5qmmHN4FmXl9AqHjl6oWToaMq8YT
tudFtui+U3CtCvi/zBLOz1/VUGy4owBCz0eiGrDpf5SHS5mPVK3T7qqrQ4EcxMv4PDIwUU6XA/3v
8FBPq1XI2GnZStusmlsUN5bdpBksIJAwcUqzCGycV3o9V75+2nBoQrOIkz9wQk4bTwfnBGsh+tSS
JFyQiIfM9piygVWalVa5yqvOxjVQNapzawVWvb+qLTFLfMPOCs2uLIi1W36d4Gtw0eZe9Yf0YtuX
99JnF0TFdhlZbg0OJW6yFZCIDu1juwtzNzLvIT9buBY4kZCxgpeInApV51SHMDxfdsUfMgTiWYOF
r0mBhjNuwvAibJNFneLsU2LGwNxDHiLj98qwXCM07XDwVk3hG64hCubqDJzFLIq/Kg28oaQvbW56
0o184/znCJFx0guOWHo98ceZ5kZw8Epa2V/pC7L0Vv25+kIWbFVeSRudq2XhlDPmcqebE+e0PE3m
mdt+1VbRXC30BaQ55+FzKA5RNaT790zf7STn7uQapYeMGJIvyTBks2gFUUPauKW0i3mh/8Ic7RuZ
r83RyOAxkfRxEMB9tNSO79vHwndE5RjYtbxfTAK0/YqfH+n1JBilNTnMmJJwga8C4oTXUetWrVMC
/y9nIXf8q+ZXj7bPAkK9KMTisA8fShtGFjCxkpbSmOCrJpRAcn+rteufD5p9BvD1DUbvTk8F0Og+
xleydiszshvNkW30C4B+dZORleUtt/qOwU14fdYXp8q6x9afP3+OfUvS6+cYmccO1uqyTEx8BTQE
eGqNrVu3PLzkQfv8LP/P+KX/X6mjoSPqq1e+Qx39NwYi7HE9doyexX44RtDwZWi2ySAbxAxCYSD8
cIygcwCFqhqdwKpJ0LASv3KMYBsDNIQyhrbLUP38N3kEG1VNg0DRHTTghf5BGL/HMQKmeGsNM8Hx
Ah7KGnw3cF3g6JTR9GWtX/CKBdVVKFR+ymJuXJRpe8bSuHDMqvxsJYlbhCpaphmN+02QyUK7qboO
AuheOJCZim94kKe2irob5RunGdAw8yKWEE71HZSUREhbiLg2bCBu5n5UByvIW+qOn3uGDcyyHzi8
LtJ5QvO4uuv8/CsPuszW4BBMm0LyKHSATDJO61brT808bQPP6VgnTqs4cjvsaUulld99nvZQzaJ7
iw5lkFdHEYdI1a8/55yxMyys6IKRFNLG4i6vSJDPWNLp8xwx4dalBjFazVM3gzXLjWOBbWxxYJoR
P4toqWaFjxxTYTU32/ySmUFt1yTj8zruWxscEMhGBWmzLBt5iaTkjkqLr2Xjn3eomQV652KJL3TD
P2t6FdgqzCtbAItug1PgNJWsZikgbPuepoAfUf53r8msP7s+rL15MTgHkE6HTGcg0ZKX1W0QkTv2
5FTkVqCpGwGEzBIS4k5aBNayMDuZ3llAKpV2UHm0tgkFZo+gpg5t0zO/Q+DYrIZteIsqjSK3T9Lr
LpSXlpGfpnFwWej4jCltnsnmVEssN+uBpS5S4DJ6xxT5Y5PiW6H416c5809bj/+92EqHlevt2ArK
JCq5YzuGOOJVUAV109BuAkGNHJTnwKTfsh1wQrPOoEe3CRsjwAr8sB0cDk2B0j84CIdD+ASR19+2
g0G8BTQ1VDvBRSEW4++xHZjCTV75v4PtoHAQmgEt60AFOC16+P6VA942ng8pSM+4ivqcdqveyhLy
rQ6I8q4gvUWSBIhkDS+ZN3AAVXDXGeCaRjDcXAgxdBt5lrCh2iiaVVwZrjQTfak3/5e9M1uS28a2
6K/cH6CDAwiCj5dDjpU1T6oXRkkqARxBgiAI8uvvpjy05G73Db87HHZ0h13KykwS55x91t6soQnZ
AMqvke/esvIUYs77Oow2awPgaGqk56bl2C4W1W01YKfDC5337UgSw7BXYssKPSqGYl1PXgH0ojao
4K3JhdJNJqg+T10fJ15UvhiP3pVBt6dNq1Jps86s+3LQc2Lc1k3qSt6tfH6WVB5HMoZJ2UiszLUD
nRebLihV63tcqTtKBxcPSfVpEjf+re/q5jKRVe6wTO4yv2gkOI7hW1Dw96madNo6Ua6Xj9n6YQaW
JTdOwLOm7S7WJy99x3sIcWiyyQh6RwVzn9a9J5JAOmD5WKxSz9hzsJZV7qv1Y2LFbpLm7MXz3otw
FPVyPwZjroCbQDk0UOn6OlUm+NCQTeq5WJPYTbAFuOogq6whIJSJFzgtIp0aSC9s02Capj+0EGWs
rB4biDRad3e9cs8C4g22V9iBhu2dwVc6bfqOa0vV7bXjsR2j/ckL28/dKJoU9OEV9MMrEAldSqCd
0hMLfHXnWWjLb5VquJ+PgeTdnbPqpd+3HvQc7tbuK06/WCbU1F/8MIAQqWasCacv8Sh2kR/zdGb4
1+U0f0BVHtNqtHHSGnvQi7gmXcFyZ7bLbtDi2+xARKrY8om6GEVWe+cZ7w3c2smV66fSoD2l4Rjk
ESdfS9+eZpcvb40YMDXqHqRY0KXMgFIK3eFQheoO69pDpJhzBX7qcSnxtlCyhoRzdlPYEbVQrN9I
GGaT0BDrahrnmi7uYY2+eZUkgA/0s9HYPLc9+vAGJETN42AfOiXAJiBivRdmCoxm6kjxhdfDmjbT
su7YXPVQufned8ZP5SwPErdN2rHOJiBBoMWOa6551ycetqx2JkXKlHO7FM6r0u6JQpKAplc9hYXA
RO75UTIWS4K7OcPe9NBEdZRSLU9dOM6JAOUyDSxMBK2/jULf9C15NyPE5GatknqprkEYnvsAJZDK
+NwByUn8IDBphZW4EqVIKm3m/WCxbtVQEBI/hku0Zp/WSOZtEx7dkX8K6qB/WB0qEkcwwGh++BQ5
4sH6TuLG8+sgSHnsRXxc7XAuOOvPhRxfKXRrQJwPDqVHEbAbJx7vhEs/erJet6061BLX5kqXNeu9
bspAtN0bA90XEACfyr2qRJzXNu4S3D30bTTjUfjVdF8wIwChNTvsVs5Uj3X+T2n7daWKIfCvS9v/
Nn3Zffy5LUZpw0/93hbDZoCwpYBSd8s3Rvv7Q2lzsVPFTBKGv3Lo6MF/b4tRv0D8QBYMQsSw0a0g
/a4XMjzZEU/2QxIfHkODAvj3CPV/4zhRzHywyAHgRvye3paQ/mNp4yqaqypgzY3jDZ94iaKwTs1n
bwmPjdd2SUXXdFRTHoVt4ppotwb8Kl6G65m12ETM7XBsy6HF4eqkKpr8HQ/dnSuDh7k0fs4ibCQN
X65cXWTUkSC2cDaUDMuIxmuuRDg0qXFwd9bje0uhnEwe+Vr45Zj2TstTHtqzZeYr6tuQsho9JgaM
nC4mTLylW3N3chqcJKHFLY6CE00xJv/FpamW3bLr5HLrLzimfN6cJxsGCaiG1wCEagbY5Kt06Qnw
cp8NFmcKN2ONHV2QhAJAbxfFt2vsvZhixQ6PYVEjhDMnTaTxf2lVpivvfeg5vEii4hhwvVsiKIQD
cA9oTPZ5Ffyio+7cF/1Z4D0lcimxf/X9+7msM8N5m9edfyk8/7FYGo0We2oTCLrA00cDArZGDSQk
OLTBUqYF619YqJyUugufeBqaoeQP2q/6NzBWz8tK5rNm400f6HHfeDNAykG9WQ6Qpqv3bQ8djkyh
TMiMcWMKCj8RBbsI7j8HA3S3qZxvHGTn53U9rZkfrjxfYzBMXMXO3pHTfeCIr2FTyD14rtQDpXWW
9F3bd6BsO9LT93EJ5H5SWKhOI89VP7fyOfZE99C4qMkfJV+/zlbcr4GLzn/qZZTUSjD2jp3YdYHr
++jqzj1Y7csbXxXxDWmL8bTERUpiDA1zRA9aLVXiCrdMBYmX66BascMqZTvvQcK+zNCWorIVl8DK
D9Ax/sGVPB4ABKBOJf+cc7+ecziW/vqcgxPnHYHR7+N/OOrwg78fdYiSQUj79shv+BvwD0zYfygA
7i/Ik0MkxfcVR7idMv866sItOhiP6gAx9/NRF/2CExNbExycm4MH24zfNzi/KZD/zYwDG8+fu3iG
cSDGxjx2sbzAgz9+Puo6zrBnN0zeuG7DD2in94LjTkPzeZ4is2BM9ccrO/lyH7hrsI/tdNtVBARB
135WxJfZ6IyHZhFhHgdqSflMg6QiYkjBLqxJ5cx+JjRzkmiga4bmrL0dePwiwlWlRgVBat31DOTy
SoXkwGQMIsER+2HpXwrGZboO7LKqBTeJrM0ByNCJt9WQ1CQ8rZA5sWGILtQnTzzEaK1LdhfPUZ11
qrzTrnqHFw5dXMifTRv2yQwHBJjfyKS1WS+0i15sATTUC4LXuJEv1JpzXHvYqTSPTtheNBrxFBTg
U6cK7GI90NzFfI5Wct911c7jzie/tCkf+E67Q4R60F/1kXz1Gb0ORFslIrR7Y8MuwUXxrhsGudI2
6HsinZd0FQm0kyYLlKXAnYclZ6ybcmPMAqC/vVGYEECXBwcp/DKx83Q9N2ZK+Dp7+7DWu4oO97Y2
VRrWXpc6/nobFPSLr/vHelp2QNnaJODdrSV0t4j2WIIMTYpovKVT9CSGguc9WV5piaO5nMM+A+RU
p01Xyl1QLiPmswhE0HqnbBftPNGcrNd8iLUFWaj9JyqUBxLSL1L0gTeVifzrpogOlvGH4ZqII51w
MM3sTJeqSpGytCsjg5N2APWn1yrXgTagANmroIBBJuybkkaWe9TVLqlb+aWOqMwqjdPNH7xdw8D0
ueCN9HIosWhBgak+KxV8RKH/AWCJH/hArjce0pqBw8Ni2rxaGvIchDXQb4isqEbYCnXDqQ3psQk9
QMZipxivdx7483yx1k99Tpc9+34Od+Gk89k4d2U/f43XelZp6EKIctWwXwcyQpcaTsQZ/HQg/SGm
UiTSLypwwxHL8JjDg+/wbi+VfQcZ/Vi6MjNjm7ub6IVLF9dR/CIDE6Ri0OYBM8yQlzG3eR1hnbOA
/gPpMHk5JrcqCcLmPjZwePlFkMC/c+xielWY0UvaWlVZwyvcF1Ez5azqvV0wSB/1kro7pwma1AVi
eV787q5wxJeAz+ROF+09U8RNNjfPscdUmwg9AyFdp3wkEsshd72REndK1VqbQCm7LaLwSrSum/Vu
RRJa4QPs6JvW3mmUdyUhfaIUu2WsLY6WymtbQGc2ej7FvvxKxqZPhqV6b0nb51E91pljnTrrV1wf
czjA3zWEPBOrsw+WtFrffB58Neqqqo6jnPNSDgumfFwGpi3el41v9pfhUqy1l3SB82B7cug84UCJ
FM8Orz/qCbeMj+VaDtPFbozRhDltn8RYJoATbR7hm/kWGzmn3OK6C5poT2THcwK7UOL0WAkbPnRX
jm/Di9e1j07ZDtfWgEOHU6TKo3gtMrsaJ52KQqZcuRLQj7kYVbME/EoFFqd8EApXc0i4d1RNJXJS
4BsHnQ6P17LeyaKnkEUxGY2tWdN+ce6DQU0AoHBjiXUoEsdQuFPqutiZRVeZHDQ5CHxfhohTDTMH
OpXhriXBuZHjg1u4j0VYyszzzalALnkerKvF3lkqVd301lOvdYzBLqdjR6t0nKrzNBmIedoErb8r
56KDtFuOn1jMxW+rt39kvQBF+q97gn/F5/97U7D95B9NAZjSbV7BpBOFqL9Y3vzRFOAp1qhY4e//
5qemAJQpjLuYqqHWY7n54/zzqxSHySiIsWhgf6cpQK7tn5uCCJvT7bdDkhKBiXhrGn6Q9oLKdOMq
7XxjG+amZCr7XWBElfeVSdvI6t3o1GiTbUjMJ5jUzj1kmD2eYRJtxzy6cxhxsqJj3j3nNHcYxqR2
6aA1uCXcJHp9Dwt/vYYFCTTYMOZRBU9D3xQPweTQS2dQJRcTDLseR/o1zIx5xcWzFnM+Yzu3K2N2
ApZ4Isr7VtvleRbtKSL1zdAo1DH/EJeiSuIKNijQj31WNR722EvQZNYlYwoDgUhISD+qiDzByfFW
G+djNmLIomJpYVtZbIJH5X4d2oUntetca9dMmQcPSzLXcwf8jH5eBKmzOKQe6HZMJmbSZTYt8lm0
8s6nPId1rE6iBe6KYdIm52o/8Qsvj5Bj7oeRXoKm+Fgb7NC7W+oBEQ9UfY2jfbfa6qUdAqCgxRfR
hY8Gsg3k928LPKpZ2fh3cN0tCZtWF2zh+CQd7SfLpCHbNKKBC62xyRAHQ6bo8tByHWY6mslhZG6V
Bo1QOXCEKFklmre29DDBFlWcO3qjezU/1AL1AI7A/TQ51X3oNX5mYQxLqoVUwDxCk4XSCS5qqEtY
12Y0UczrT6uj7uVom4Q40t1PdjxC0C4zFWhgpFMVHqYCoPFzBwyYX/xxbV+qMXRg+mqHHh8fjkEb
gMA3tpzzLmTf4Dk+WGFuhFY1JORRRxddwAzzpuD5+do2MnKy2GviQ0m8YheO1LuJXLRh44oxl/tL
t+vJLC/t6pdPbGbPSpf2gD76rQZUiymxL29mmIYyp5/Uzl/YY9zNx6AN970qpn0Dm9FBed6TMwGI
ndw5yG2xdnsDI809ytiQRKPf3YxdnA0uPssAqJ/FwuoRV0CUAhiEeXdo7C0MT2MOR0H/yAfzecQD
Ic5R7ZuUVuIDeq5NV0zkqPvetcNkoRN3svjoQy+NgIAc1FSog69o8zDQobkxMuoea3/RULdKAU6w
f5RMQ5elDlQJ1C1ehgdLuzqZCqeCe3iSiZbLzawxLjpoMNO2lnEelj5GYthedktZ0JNe3Hdb9Okg
5me2kB79vAtIlvdVxjFPgnklztFx4vmtruYZm/ahyEqmOyiVsv5SByGafngQQYiwUz0LoIarZrnS
8UoyBR4qoWGsNiNjcSV4wC7MLGCjoxgyOXCiSJa4MyF3wkPEbKb9brw4bJXJ6NXQ3mGM/EeL+83e
gHntr+vR/7bvX6X691rk4qf+qEXfBTfUEzzz1WchULsfaxEEOpBzUHZ/3lCzX/DsVzfA8w6+b5J+
DItgv/geotRhdP/V+hD9nVIELfDfShE2WS48DpvRAtuuP/EYsg/XOlyK8cZtgscafY8/hueWjHe1
RYs8b60Rd0FWe+RQLUuVtVv7VGyNlLZTkbhDj7t2AZwND+K9S8Auiz7ykplomoyrhzlx60Rj/Fld
JEXeoJU+xlz5SS+aB7U1dmsnWeJJe3EGNH1tB0V+3hpBx4ZFFm3NYWOgXys9D9cuOkc8lTG8RGbt
rirf14mkPtYEBWQgf+s5R2yX2daGUgGWfFXdo+gYVs9br+qq8TigeQXmxQEaw6gYkfYDdvZnWIGd
TS0/SLS+ztYDF8N4WbeueA35ZwgFVTKE05IqtM6dOlbelbe10+JdBamO+UFKeBVmM4GG2/rvCCh2
1jW2zvx17PMebfq8Qoq0Wn2d0MB7up+xLMIbUqY4jmjyFyfqUbFyZ72a0P9bwt5CzANyGwziBahz
jFlBcXVbbsMDMQyhHta7qanaBosp95iLrySIxkRzPh6jbRCBwffe30aTGDOKxawydgz+vm18KT3h
7fxtpBkjg+GGQm7tC6nzZht9inr2wFmyKx9T0TKVJAmVyCrWYSgeMX1uI9QQIJGAjaiYNIZVnMIf
mPNt6OLaBdeMOYw7skpwEu0HtzqNdfRI4vXd28a3dqkTDWmuMiLOpC9qMG0K6xZMfLNrfCxNhlPg
4b2smApj8HlpXXide9sTQJCsgBzAQHb1tbxZifpSSiB2PkglXODvsSxlomDlOInae1WDuSjYRTIH
ZoCsnIMPzPofJlqW3agt5qeRFQe4jj+3uEXhmPFFWgNoQPc+PYQ+H88tc0+mqj71awySCFU9lGIv
Z+dqWBYsE0GJgS0svETWxZyocbzW1YrbxzwKXnweRMQOXQCfd+W0D8UaiMT608sQRMd6QE/AQnkC
MNBAqqXtjo3dkfLwSQlXnOCYoViSrg/4M+erwYQGtk8psYyiKv1u8TUKXm0v3r48iwHPpQXNvIK8
jLKC9LNOUzKOXXcafRBj1gGTL5ZyAD3fwG9jR/nK3YIfOiHUbYVaksxobGy3eDs2tc/Mx0qKawFX
ZYVxypclvqC+y4umwixb1iXudu0fx3KbzisqMuVPR3dl7nFg4hh5RbOn+F2SgQZYh213KYMzELDg
CnayOxCNnZ9Ds0qivFaVBobSOB7uNKJTOIBtshARZTGaXE08eLjxP8DB31Y8TuRonjxbnUM1nWSw
XMdEPZgI0s06tnvhgETtWuxhu9q7NnZ6KiUEIqhnty2Z7mrsm1ltL2O7AtbEVq1GAk3SyuoZKQ0n
Yt3DMo6PmlE3GabOTWDdCVBP7VU9DnnkKrlrF8hMvrKXQgV3dbc0uZ29PPL7kz9NXbKME3aUxVvJ
vRtEYVwjueN2qCLsEcz4uShCC1/C+toItPZkYCyHTfltbCOYk6BMJNpH5yHI2Tq9zE2DqwZRLWju
gq3PKwntoA5uY6iQCBnYBtPvleufkXILzPvrEg5pSn/PQMfzbf5DIcfP/lHIkca25dVDTvZA/jHU
+D+GSv8XoGTh7yV5cyP+S2n2XPga4xAbLyRD/ThURr+A10cglU9/rfJ/jxfZjJd/4kW22BsozEgn
wl+bEv7jUBm30Rp3OChuGlMioCNVg3RPjfXIqYMnEJ0rbZ+WiqPoWeeKdZBtqrAFvlHRTHQOgBFd
PVquzzWzD8a1V0uBotcLGifw7sKEXa7IttDPc7tcR21wDEsKlaeQybDtgazFNnyiqcVyrlwhU7Ww
goFgiSGLxnYPJfpbwLhO5+/IU1kvKYy+fq5qBz0uI7upqhhABjhpQCJ8Wijuh7EhSw6zTpu5qn8k
FCcamRwfkixPg35102XWCcEEkKqueGliD30uRYUexyws5890qpOqGNos9KIvuAvLFPj2K4WPPkH6
0zGwDOt4eMmQFvFKOdmzqF/TYg52Ait+jB7twacmzIxkh9EC01uIAaxt7OdFFp9bbW9cKQaQCPpT
6cZl2pJ6X9f2CAdbt/PsrDJl4P5hvP/KXQJvlNe99jKE6rgZpwrM5nQb0sd6eS/7sDiDw0FcTei3
CbxhubMN9z4MlBlB2ElabrZ4zIHxfp7rsxcOBqoS5H2YkJTeIXQHE09UQg+L5K5ZAjdtthafCYhb
PEbbP20DwLKNAvU2FLBtPCi2QUFvI4MaawHvIgJZFrcs8s4dyzOE1WbP4lk/+KFZn9GQiUy6CDGo
x8a9oFxhKzvX9SepcHTC8UVfIcO296PyhltB/fLIPGWvhriAOLg08oSQAQUzHiHVVTF3/ZaxYa8m
tTZ+srZu8dmy0mEwhTvDsfPdO0xUXi7E3D+5Cz74fYFksTenivk3wiDIthvWN+tlymuQfkuLDnDc
4D8MSbhuFNIrwAVqAAsWnOAAXnAEN+huAKEzTNdqQwqLDS6MXIMzeQMOow09JGAQyQYjDq2LHKYN
TwSniHAWSBUbuthtECPdcMaV1F4mN8Qx2mBH+Z179MuH6FcQEkik3OBIeDTNc4yIlyMFsJaIDaJ0
GHDKEVyl3QBLJIBkdkMu/znMXXezm2M++evDPPto/ucal/x/wiPwg3+c5MEvuOkhC3q/gcM/nOR4
YjAuHkCBv4MOv5/kW4AfTEhI/dvisVw/gKj3Gx6BpyAgQgSPt4F7PUAV+HvUMErMT+c4ARQBbzu4
ZgDDhGyz5I/nuC6mamzWzr/t4DB06/Iq4tBqzJL/8Mn8tqr80euEBzD99EJ4JwgM3koWFqTIZkN+
088vhNSmGobber4NQ9BNsMgwkofrdGpLpChIn9dIrIEe5Gl5Ey/T1VD3T5GvkGmC1jmdkX2U18qr
z0aFcYZ7CAFmiy4TJ+w3SEO9zmPfpy0TAOA2p7gYm4ceL5j6fXMr3RK4UNQhbWLwh4wh6yMNYHKG
C5mdh9Zu5h70uYjV2IRAuKvrbldQs4Owq7MJmEQ21hZ4FnlxWHSJyQThwwteBWlkiqXgA5YS905r
rx0nvNala7Awg/MSmX9HpIBcz0XLcYZ4T0CgmsTlxmT+BlhNRt8hTGSHSMKXmKkPn0dvvF0+qW01
V08R6L2lvA1VcaZRW+6AyxxoXKj9KDY1TaknSfmhZISnsIeckUzwuZtFvTOt2+PYAFbRSNtnzrTZ
nbEcgbVoffPadju9qxvCcDAvDWKC+iAbaP02Rd6TGvlF2nZKpLfcR8O0RzdxwDbOgaceCU8zCUr0
6QhzEn744Cx9k7Z6YNC53mKNrVgAv8iAKjVOBBYtDJEM+Cq+v2qPfdg3tmA/6dLw4pgJ+FgHS/8A
CNOLlmt/RszMAupzFl65q73mFqku1S4I5v3akgvnBU+0R/axwWcr5hp7VwoJsx/iN7QgB7St97Jb
lyxYx+eSYmziSPhIYIt6GOfp6IW1gYbpfnGRfpnweXluyjJE/tYKWxzmnlFUBmEk6itU0q/+3ACu
tN5BNvERwogH0nLeI/vgrkVcm0WU5FUUrF1Km+7LWvWvIhpF2lL5CMaxysgQ1Yd5CvYw/Kd+UOxg
bUbWCC4xzGJkFgg6EcN7V0muditz9JKG1KrEc21dmmTxFdJtkFfTZW407zw2bz5mZU9NE2IQgHPL
LbCLIsHX2Y2PMA7uzIrVJBIhe/Nch8Hmtp49d4U7a0MXLaTbuvKPAXZrHoIL9LZ4ZcM7SN17r3Y+
WIyvaQB9J3E1wl9v0I+NGoPfnMm59o5OGyIpYDZXTAF8ddBhhWUNa/Noyo3Inz/RKhpzy3uo4W6R
jr0FHbyF+4xXfQUGSI+HedavyK7D2iyuUlO5yECSl5rilg26+hYKyLlxnCPsTQR9iBD5ahdEWJjy
K52RSFfNFbYSk3ePtK29lfqjBsOb2gluc9q/ziqHOnMURCF2yTksNHq3lfu2hkudRg2idpbmrSEP
Zh7h+59OveRJ44Ah7VTq77AEFTHRWNQF+RyQg/GDnfIEWNS1N/sgqvTO9ZA8wQ1564iH6Cs5Z4Wj
FBijfj953c0i509KwrZULuQZmaHs0jtId3vc2iPOiCoO0m+95v87Rn8W0LZTFOWCAHIFYALxffPm
/nhcj+MYkGKhy+0M3TUh++JkH+TlWOnEee9e+rw+Qg1JijM40ymD0fD434/xTZ/7yRq7vXwcoe4g
BmR70M7PLw9ZPTQOndZbE733xTF2dRLbN0e2yd9/HTx/FXkskNPhxv2zpUqjZpUIWbr1yisEnCZN
8xHzI0wW/8/r/Fz9fv048XmiBnrIy4Vi8/P7GbD1DydPuLc0PCsKwAx7YPLy398L+U/f2Y9v5k8v
MgnXHX2gZ7dmNz5D8snNwf3Ksk1Tu7S4xpJ7lYOd2/mHp2uWNcm1gVvxecyL/K46zckBzf2VzvAf
ZnKHv/Pn//77+T/bhn79EDa/EB7SEcBn8Of9YIOgSADbrneLgJfr4s7N3Yv3wk/IVsR+PFuS0ydv
b9PrYTcf4D5rz0DY7+D13AEXTL//Kv+oAtsF/NeNZN78TyYVxP3/IAngB39vJMHZwioG+TwgqJw/
SwIewt19hDEDnIW2vin4v0sC8S/oIQksaz7C1X41nvyLs8V5QqAKQK4Ft4Ru92/AZ9gx/HQ4wELC
8OfgZHIJ1FIoFH+6zgde2NDxDMR9Ip/nTd3D3jdz0PomUTWqW8SYQgNEsXwNSa/TOGyGREdOBLkO
2UGjY7rTypE5hNRmhVJHXkCZRJkC9Z/2CJPdrQQxPe0WOIimSKWaTDIfitikw6ZaVpAvEdQImcAy
AXkgeoohcaKqdDu6QraOIH/iXuAHBUEUi8SXYga4bqr+QUkBWdkp44Pn8i8d5FQbuGdk0FxLFwZL
uCo8iPmVt1tCD0mmkGObudwvmz4rIdQCUPpUYIWtaT8iCHJ6cA1vdnxAyOY0Q91DMM9nCunhoDcN
WCF0chdL+0El/UA6d5UhmmbKRkjHsQ1e4bruTv2EVS2iu999I+7Epjfj1/wSd+1NHSLFJDBR6ggq
5bOFmSDH0bOvPdCrIVBVJI3suEQiRwGYZg3bD9p4ud2wVtn0ewLQNVLz/UxrfoCOwOC2gLu/ntc1
q0qH5pNjbyIxB0kJeLYERGs2mhZQtUS0DpNJt7G2FaDbxmDTSvUbYg6R8xaAy50gzKwbqcvc5Zk1
1cxu7YhhuNd2RY4KSmJ8JZz+2zqJEBKkqfKxmpALakG6krWx+7YEAjiUVXzsh0XcBbX/hBUptGCE
lx58JpKV18Gn1Y2Svk3ieHqcaMOv4WjB4tptFULrnPrQhzKfK/feA/qEJoNhEQQGDrv/8nlj4xCP
M7EkcMDjBBzZtj3tLVbhyOR1HHnLqwKrzhH+DOo+IuAWG6kKG5QJg1FDT2Tq8BFDICoq+9KH5dco
aK+wpIUI7A0DQqZ0m0TO9E7aEQQUCT45fvOG9hooN4/2S0wk9K3q4Lsg6yI5ZnZad44fdNjhYI3b
1ZmtImxx6itaRAhGRkQ5Apkf2rX75jaS5ciipdjDLkiaqZHdaZzqi0ed19BH4o2w943QV4txHgFc
vmmUSwwJMYRl5zxYde0GxZPtqvMyt/i2Cv+Zt3DECFU8IpD3rCt8Qr3PyS7o0bfWLL7ufPKpiOYn
6npr0vCmgqiPlhoBrJ9HEt/PqrrmPXbuxbb/iszN7JH7YMF7aYvyTo3eETbalCAsgWPzNNH53Dvh
Z77o521c4V2IFK3wRpTrIVBt0rtYFdTj8hpOjO0r7rRJXcLjhGMO2PrgQKVbEPVTIFQ2NaV6VWN7
CmJzqQP/KNz1eeoQS2WQ2pgOwXzsVbhFRUsEdDnNPVKsPiN7GJE3daOSlbL9llKYI5eG5YXGYh/a
JaICYjioCNjMqm8rRH/2qR2xm/AR07WduDilPJnXxNxKxDskPkyvu8ksd9zFVsaDpcjFR4Az6S5Y
6KWa4i+gSTY7D33yKbkEZACyMSF1ySw9dK3tiFNiBSTvPvhxt2siIC5+P7bJiMi02AubQwuk0Gs0
ENFWU4AG9mVa+YPnks9RC1cX99kF7ttiz7nj7DC/33sRgs8GXnsI7Yw++0iEzb2uAWJP+3wJkN3a
lj7Z/FO7Gsk+Sq/FQzWsVVoq77ErTQdbQlR+6YVzTZE+mcM1Co6/fJkBbyhAHC1gjhUtcK5BzSIy
y0WE2YZ8lOOGf2Bubl/a71DI6vMl0dTIHAL2OWTqMd6WDWpbOyC3+02uZQxa1QTwGK+vhcHaIcK2
gmpnSNdJ3ZKyuRbYZwTYa1jsN7xt0RF06tSsfo5MiSafdHiHvcZlihHMS7c1SYV9CcPexHUgUapt
lRIibwOd/PQYYMvyf+ydV3PcSJpFfxE6YBLutQplSRa9fUGQFAnvTSLx6/dAGqmlaTPRsa/9shEb
PWRRVYXMz9x7bhIyl2brki7rlwwZF3/N/OQvm5lGPRS2vK5lesX3gTeBHU7BLme2GWX2C3xt1Msd
wumBBqa/LdkAGU53hCN9JvTpvjSZN7MpctgY1b4oGb/yVC/LJDd3aMuWBZPvMMlLlqVTqbOY4owN
ZFLvS/ZS7bKgctlURamDI2JZXtnLGotdFgutOj3My4pLy2C+fl16LesvAH3mAaxWEvjLcqxa1mSZ
3mK9XFZn0cSYYFmm/VuVfRvvUaH8dVW2hcVV/llJxk/9KMmwKpGF5TGPw4mrC6q1H1sa/AD42Ki6
iBr/ltvxvSRzCdoBJ8+MaBnffa3Wvpdk9m8MCn0kF67JwAzKwD8pydzFRPVTv0ZJ5rPu8ZF8uAZ0
DcSJv/Y3WQFsb+pD94Sr8Rj1zVhe9NJUzhq5Tl3DaU6GeefJroO6XUTTQ+UvPvfKL6G19Wn8PFnd
LaBpFcRdma1lP+yYbwf04Uwm9NJkKJ07q8pP3ximJjyodrJRWgddFgYsQM2eOYn2DNX4Bnzkoxwq
I7vu4Tfegvbb+xJxnhtCEeNJjhATnjJUhnLVjA2oQi16VnUfX4VhnDhXca7cK7v0GLYInK/WysE9
UAV2WOjlnQPtfBtyTslNNxlhDzq/i5OHgYsYknwmHzPTj4FlZtUeNWGquILbC7DYRznYN3YkFPyz
8kGf87tBQICr4vrdXOwITjyweoGM0PYp55n1Fi944FYTJ2cwcRhMD0Oc2GuLglAbtUArOAKiRYUv
6toIPIWqoStdsTFE/Ijo22NOlKGLtm8zT16mKYEdSku+ANW6KwbxoYs02XQFb4rt9deulXH3IZnc
S37/yozq7EVZ8Iwzmez1mRlNs4zaity7a3LD3FZlVrIx6LXVlJr7GBdXOY5tUMjkYMUWyIAidoH0
uTMqgqzcmCjbODjU0arN69AcijVyAVYOwtxXGYMm08vk2leTeVCjwZBw0L/olR94Q1eAdbdDFO7d
rij91yiuzhzfPess/MyJBwnQmv1bNwSIR+DIdgq1L7Y/b3N9OmAVO0UtzERYoEHdzs6+KJcFSlh/
9hWTGSeRqN604l3G/sQep3ziK91jPB3dvbOU/ny9rpHY96veq069nWrUjeEVnPprO0IzEMXGTVhr
9KzcqCt9au01dM9uzfctiO3qaUjNFk1cf+z5BPtu2MJkSHaoXmfukabazKU4FKO6nBr70ej6k98n
d2lPRkaidw9FFN8s2Gq088POiBztwKFtrca4vVFueAfM8HpuBh4Rg2UXvIho5SeJQmoaXg3hvFd5
qLEE1N7bRosDXdTZTtlcUrPh55hyWPhFdsdSUBcBlO75WNXuZQpofVt5tlzXQ2mtizHvgW/Kc0wi
X2BbHJPBwxvYJRdOWrMr1N0zaBDGTvchLytM9QYPQCCM9LXVa7lVfn/pt+Jp1GJ9zaM+ogUtnHU8
WJ+FGmZyS6qbYa7X/eBiJodW4bpLoEFZITHPxntTzuVeE3w7w6Wk6/LkI1fmzOXoPtnSvjWZYR7G
KmPq3JoH2kQrsDzvPB4hdjnID9Z6IcRWNullEjkYJbObIh9PUcx3W8aLgivNNknhX5lR2WydnH5C
1pLJdDupVVM6d9Jg86q3+mdoihfdyt9Z3xwaaXHPRz39hGZ+iE576FLXXxdF8VDI3tyYPhgS1Ru7
xCmeKyXObK1S9khdHcMhccXkXFupV7u4+nVFpkjzZkngIaaNtW4RSA12c+FoU7+ZM7qrcX5rLfO5
8Xxr7+t4tmvfvZqHsQy8PsYt0gIzxTZWrqCevKOx6A6629/GZQ/tsNbzPYksajW4WcpZa73Ujrjt
CyjyEnb0lhwU8FEDI+S0rkskN/ppxMCyYar7Mc7KD0qbyjI1x2AMK3efZaWPrVTkK39osMyjbUUD
J98ZrRdro8NXqYfSPiWTnRCk0EysPMw4sMzmRpYUMMrDtmRAMM+ScuJzSlAVWSpI7FQFKo3ri8KV
B1WEL0U5gWrQRLEBahGtJotva92m745b0oWF6byxy3AbCUvtnbJtDlUtthkepyB2nXzreTR+nIfz
rkybl9azQfBr8CbDXUXJfh1rZETYVeKjZJH6ihWCv520ElwACsFrpzTrrdsYBwIIztmnY8wqUm9H
n4zyDX7yOhyVOsbD8CVD8LWN4ZYfzdrCQ1XjgMmmqNzHZTnfz7Lgs5FK29pY0FYaxf0qgvO/svsR
rTDABIBY+PNt2Om5fwz9+UxL5gJyP/1NmM3XAMcDAMe3nuY653NHpxcPGL6o/6/qIb4rTRYPGVLj
LaKyZDXEWotqt393GtQOBRyh3eSxwFIGcgSETtPKyOOrPmHfFs56kFXJuKvr+QzOxjlSuQBWwNXI
inxjpY0OcoJ2O3Hbk2+n7x4evbwLGUi4Pm0qyVroDG10SZ7asDRm7Dw37Jd0+WAM2WuVaVd5m9xm
6OLWOlPWTdoazqoV9UcOxiAqdLHtLQGEIxH8Smi5gcz155rADTTwySn0B/xjhj4GsmnDdRVmZ6UH
1COd0uihiXPkbeGzQzO1Mnl0yfP4bIv+2bY0/MX9qf66DemL99A2/Q1REhkBEPnDUHns+hJ2Haam
Xc96rQdanlwYSBKQw2VnOXKKteBOtbWRA8wwPiavgyYannvo+Xd6oo7QJ9BrZ9oqtcvHQrWnqTRx
5amiQIcn1nygx6Yzzuy8+KLV3qecaB8dJijE0+zDLv1g+bfthqrfdURfdDX/VVbag57q5OKcFSm9
yuBip8pe/SF9g5e/rkfUKmnrHgBEL98aL1p3TnucO0nnlvHxFHTqKaOfaeb7nIQmbbEpPiws4ivW
oLdJGvE/5gAfC8inbW6sBO5djIpesqNye6ECOyQTnCUqHXZWznG2q2I9oG13GhiBvnw0LH55PVUo
XNKzjKnVzir6d4HxMnJDyBVYm3S3wN5VPhgWF55fRjs7NhCReNaJzdJ9KyXtaIe7WKubqzrxz8Et
sUV1mptBA8nhpqjVZ1HsoMzSl5rpxjFkQYxbjRsKD/gWNDazn5kFH67Q22LE1kCOBRwW6s6Vlyco
SKylemgPrhUfpUo/Y8NOtpH0LpWR7qp51/mIU71dq8rAmM49LbuL85GVryCEiDX4Lk1HBKkuhYw1
v1me3DoyegPzeC7MAYxGqMd8WM0rmsklGUOS4VDrY3vG43MXKcZq9G8PRu3ihkMF00EC3FtRvjfh
cY99FoSeVV+XTlugXCwTBz8aCEjtMR6rSl8jVe3aIzs/WTD3kqM3bqt81NS14tMpdTvRAhGyPYpm
VyaB52fHCtnoaspIqaHn3M1+RENfaVvNBbhYZprcJqIKRJENQThWTxBv503pjQ39f2QQMpESuFXe
SuFMW7Y5n0TQPYoERlZB4aWFSb/1bf8Qu+IVRtbVlBChE7ugX+KkLwjV4wnJMoEWSI7GSmMwwnWi
qAt1LraOK43Pb/nsqM0HlP+RH583Lf78vBbB1LunsU+Af7rni65rVXbpq+GroPPFOYgvqpuqfuNu
gcKe5+us9O67JBHHftA/ZtJ6dnOqY3Advb0YhysswAC/lkQsWokVdY2ESFh+aWWBRyPW1jZoli0O
mXPREFmVjaQJ4Na1i0ruOXfPfcmaVNlcdjC+98PIE52avCDa33Um8g73AGvbbnZWsNB3tUm16xvZ
S9YkaxFfZjV6Kxsbz4Q2rEXi6HvjSUN4w4iyvyzs9As8eVYmBp5nlZyqSD/ZuPnzcjwJ89JhVEeM
R9C2WnQc9eqRGKRDHyfPvdvf137FmhBbDmEUk+PeshVdU/eeVGO+JDXwrk7jZCyiw6zc+ZAO+Qt/
4H28tPYuteAm7msUTYX2IopqfCzmMUKGmp5NBLUE3Ui4lCrmCzkqPKeO8VSPWDfS7FrK8jWrPcS0
Xc83wX/O7YpIivixIAvt34b+P/4J+tu/buh3+UdZ/smKhR/63s+b+PVsxIzfcHxfO/Mf/bwJsGQx
4zG5sk12MD+vWCho4ex837H8rtUhdNfyTNB+/B82jAsV4B+sWAyH3/RrP4+VkF0Nv9PzBMa2pd//
ycpHgoxrToPnX5pFC1fcNuYateNCXrK0MjY3dkxCyQszy/YatSScpmJBNs2wm5zUP29LP+O6yN4y
Bo2KYmE0+2irhGCyVFs5nqrWmg/lZDWbYfSvaVM/l4yTNaQkrkNzp4EJj7qEXqXZ6eDDPTDiU63t
tSR/s1u49W5anUepvM4W8rjTtwH93t7V4VXQ7gLYl2vo9YRHpWqHJulkUgElJipMGUM2H3S1Vway
x1Iz3tKCtAaE6IfWc59qsOhzK985Dy/gZuX2AuB3nn28A/1CU2fo/9EqL8gWznqKiJPTEPb6zHAU
SUC5Nkdj34BnHxdOu1yI7ZmltYDGoLiDJuVfiyI16Kr5kYnBBdmRpOGlEODbhQVvMhKIBUkL1hBt
24UXb7SRu0lByHug5NlRjUGz0OXBFT4X4OYRl1L1V5ck+KBPKkJ7WyxserI4DnKh1fsJ6HMDdUWg
SzGuqoVqXy8yTXrfYk0ICfIJdV3Y2aGDR7CCbvRFFaO30hdOPml0LFdQJFiReoW8hg3AMD57Uzsa
QPYRKZ6nC3U/XPj741cS/8LkrxY6v1o4/RPA/hlwf6GV8onP86y3X+aCkB6INPiqAb6nR8T9txL5
PLyELO0CRAhNfK6Z5cA1lmTR4u7Mqxj3c5/5uKoj2z3knSc48cd4l3gekhSgbv6FCQzq6GbVuMNz
UR14X2p9I3QsGuBZ/NsQhKG/zpUxsQKpGAeMthI7xvciD/JhinaGqmL2dmVrnrvAdh+9yvH22GX0
p3/nm1/nmwZKhL8+DvdDQUbGl/6PJ+Lycz9ORIuMYUdfSIOOjz6AE+fHiUj8MMIJAE46SnVSc36c
iEgUF58Z4EIL7QYoMlbF39WLGNR0g9TP3+ei/+BE/O+VMxm/X9HB5HOio0SP/ut52A/kHBC9KK8G
/RghOlf4V3c/vSl/olz8JoH8VfSiE80rfJxe2Lz59/76IgZ7hTTNuvrKkggFu5WwO6RBsWWW1lWs
Y/pZhGxTdj1XieOdliTQJ04IM7v2dFutY72YTBTJNeTh6tDEBE2F+caxks2cGAwEZmutVH4VEryZ
VxoBoT4BDtVtr6OSUrGxmRv3Zkq6PaRR1NoFOXZJbwS2aI4EUl1qXvaWq+xVI2JlqOsDURNP7FYp
55P4Muoxrpr5wY2JETOm9pPehuCwRAY5J9YuaTA1a4iUVgSZ7ZuRGnNw03tcRI3VrfnnPUWOftB9
9FsW7mAoUh85ll4WcYKlbPER1jjovKLGFadPBMN07RaK3nmIUTnwymUZI00OZ1d/m7ryaAmtYLhV
3o1GdCRI9L6deLrNpH/MCtWtYyXfO0cclWjLbZPWF2U8ycBvXAt9fWivw6q9bRPCVlyBbyxS1kUR
IRPoO+s6l5AE53F40lILnTjJatzfBLKY/Sd2GKYviVlBrKmQuIozV7aCDVSTrPKsSfeODpOL2UG0
ntKh3CS1yUZv9DJmuPOjQWCrxce5qgbtxpbwtwszv5OFD4jCy561phXAsOqDj5nhlPfSWLOCPnZa
gvnPaMTK8KLzqH+30mrr41ZICmmuxdTQoeXlYzgTXxQ2HgOnyDi23tAG/ejuZtd+rxMWj1K1MHvE
u9dB3PfS5NMrKJ8jQUpr0/t4kZ1Pkci13iQfScOQ0OjSfWxinDPwGlRRcTWa3ZuRpsR7CsbCaFoP
eUKwpRj7beIt4gTAAGvR9XIjNN1f2+VwxVLtfowGsl7yHjgfLnNm17fR1DdB5UbDugxZnQoiOUZu
wHk5nX0vvTXBBrKOpCXyx8dMp2JPlPOZpv6LbWQLWANxnTVlEDHCOLsoi7xdR2mCSdnW7yNS6Eph
1/jnrMsod90grmLJl3V6GdOcb49sIKJI3g/XnZ8zJ0Royf09puWHMKSzHVv9Poty+hRYHZO2UICj
nvmV9tlr3jNRQezTsnjtWgZbiSlk0UtMjlOZgGtUdqi/SvSkaJtwv9AQfLS+zZ0dyXlFXcG33M+z
+4ys6YONnf/KseRd05jcQfVHgbgkyeoc3E39hYRExtIMqVhPMk3LJGTSNkkfhejJaQlzJgYPpb+Z
dipW6XmBNTPRtJt2SP2l0sgbwmAKMJ8jnB3NnaqghcS+7nLbxpFNEIpVI3+0LgRUVWoxmGWk8dQ8
mwvV5dRV7lPs2R+JPjUrjrWGqbixLfKaqC11Rjn7qk3DmewTkDnDczQAAODMuWlLY4M79qYyrIM0
tBtScwJHix7MzHnuPJvNjn7my+gKzdwVWaMXc9dvZwbcmMS+0Kzl9KRpkHV9tiEMZp1hu3W7Fn8d
U762Hk8umEjoAjnrgDlgSyLZEtGmp57GrFa7VH37UCR+tgnN7qPD+mc206PWfdgD38TRcbeWIIVq
HcKlROsRSorYdFCattFH5T640TjtmqY112kE78f26r4+ZZb1VFQClsyMf24sybXNU86tVVaJWq0K
Ysh2varatZdTl3lW8ZA13Raf75OU+QMk7GdEJNa1PtjzFRdes23z5rUxjUPcWl+m0LtsZgyAuR8t
OURIkJj5BUkzemstzZNtMRf+nSg8dREV8W0SRW9sG7S1zIb8rKVRpNjsUWZiy1+LPn4uTT5FGd8l
SZUGvqUdh7F7GghiZMxoFdtwUdvW/H3kG3H3kO7JGQAK0Am6oZ4vtd7T7pyUka1SvgRJge+Qp7x7
DP1ugP/gFnueZi9o8j4QDrklo9HLHZMpgo2LSu1kqYMeyEHnRj0Te0Zw9l5iadpTy5JE2t90Il6a
0106LgWqFmJ6ZYc0O8YdpfZTa0y3kd06B5TwT5UvwUFFc3j6+2uX4uGnTmcRJeoIkHEYOvQ6Lvy0
Xy9dJx9qPAbNcFV5QG+My9S7c/irbbqF9H8pNH+tIpbXotMDPWJgxHBZvi5d109dVddVsPlkJ6+8
cBNmD43axtr/EFn+r5dY/vtPLwEZOc/lkMurmgcT9/UqHl9Effv379mfvohPo+lSsRnmUnX9/CJd
jCUsLaW8stq7pjqfNDyhh79/iT9+LLxVP73EIhD+6d/RM8GNDDHJK+HdFs12LuA1y8vSfU3V/3il
RS34a9X16ystf8lPr5THo104EK2uGjWvjJJVlXkcCgYnm7E4zsV/uId/mebxR2Wz4eGzseH64blk
o//ry/VROs1tb0g6oCejR5bi3EXxmSr+7TW+jV5svmx/3Ws8V/mfKCmWn/nRZ+B3RTzKdAXVhC+W
IvtHn4Hf1UTcirwCX//id/ohbl0g6LbgfCDg19DxJf7oMyyUGQaMRo/+wFv8Rv8MouT9+v1ASbHM
XYQFXcZyOZD8/5q89K1MS0a302Xdh9qqhtnihu1dbxbxOl1wLkioq7tkNPJLkyj3227Bvmi6QbbS
HBInBBMm8hc6TCOsk0VzBBQO45Fy0w9rdoB7s6E5i+HLEJCOMXtBzmQLfMaPImxNBbglfwirO8F8
ol1gNQRNB2MSV5d02mgPF6QNKkPESgj3N9EI8KYzjHvizPN9nlvDLgVPjdT9YEHJiRpwOdMCznEW
hE6+wHQEVB1NdySqDO+hXIA7rJqri3iB8PQLjkfLymmNpoxMbANS+aT3/r5BZHkZSROBHNnoe1m7
Phw7y9/X5QzJJnKfqo5lsaiJJFwy6IaGIElfe5Y2qYU94Fwfi+rajqF4DwJJQaRvzGg8ErV7hhH2
gXfzAtIFxXRfLeSNocBpH7/Yo3idHJRjCGMfoyZ7bO0y39RxJNlNJ7c9qDqswhpC4NKAUhVBQ5rR
UWhO8WFFlKx4fo5Oi9ivn0ukhXaabnvNjrZxyBaytOdnPmiuXKe+5eY7iVy9eXOyt0IAeKK2voSq
u2LQPJ5jBm3hhDAobqR3QvaQr+ZwPtkVH2mPrLRR8iorrDfTah9xr76To4z+IAb+lk+XjmTb49ZG
jziUlhKw5oGmxV4z+OgCGfmEU3r92izE3mGCjinL21SuFaIQi5/raL4mO/YsbdA5aBNZ7WOJ2JPv
BwmsHgGLl5bSU+sNaJmtDm7PNtGNozMtFDMTPqZXQc7InALO/tA66BODR6uiKWTS2HdCP7Uv9DGH
QwHQ17Vp/iiSzwlDAYo3gmwMdSNmAsj2StnZxmsMdkTabN60NtSI0WshxEfZe2PWgvY1UWz1Mc5W
qY/nJmMomM28yUkXHjRFxHiEmGEtecDXOt9UK6pv8pKV9JgQke75Sw1U6HdlHHYI7XAxkZO4au2U
ZsB3imU7ytZKRyCowg+lzD2mXpu8Wfuu7cMXsywBJmcMJV3/ROmcHyQD1VUhBxK6CXfWoCdeulSE
q8lrexTmibOdWgxD5Gqvw94+1xOQoX6p/LXOmrXNh+TIROqsETlL6SrhU+oZX1lPnRFeajLayhlq
v0AZ3pPqlq39Aqse1qxVpOjfmvwtzm280CgsgFUHde1OvLHFSx13x8mlicw0kJN5YhiXGJEXz7YW
36RJEx1LQTtKOsBpbLB4p76zMRWx1Kwy+J6PAKzDerpWBtB31dTZkevSw4Jthnu96cXG6yqxUxHr
Pl1rOqTV5VkU6+4G0LJ17JxoPjYpsS6iavRN1dTXDjrf7Zypo6ZHT7VWWFdmCpKL0y87aInwSdyt
j5q1gBejcIP05Llx0+izK4sA7dggrt00/ZjTuWcf6Ft9u/p6bfzrEDHww/71/Xko6o82ec3/ZFbH
z32/Qw0GcostDI3w1w0Fdez3O9RwCG7EGkIx/RU0zE99VyMy4LMsV1/ATNS+v4Rbm785uEOIXWPz
8TXz6B9tL6xf61NwFJYtbG5y3GOsMEC7/1pjuXHTlpPWqIvJQiG3hQ6GnbZ28et+6vNc2owq4PTQ
HVuomeZ95WQLpC+cUjoAR2Q3ocmO0UOCDNZtdNXKcsx3Ts9uXfnhK+bg2yzMiiuVYRBtZsfcWja0
QO7a7qJynM+49uhYC5gHRkkuMtIRa+N2QGN7R5KOWBj2+cye76CVec+4DI2NWk8OisM0jdpTrRvI
vVido/vKzpD1lgF3m9piR15SEjMsDhhv1/h8UbKhujyJUR0zOzn3qj48K5I822aaz0aS5YzHbMoh
2RkU1nbyXZQ5PW1sw4xkbWRfee10lI034AMV2nNO91M7U3l04+HOcGKdYQH7ZfbYNQBEpZ3a1HmX
JY1yU7nGjiv1c07TF5bVSMrFaBQHGRLgUYtU3aPRCBFVxRcReR2HIU4/+mg2nxkboV9DUbkdnRx4
YpdzPTJ9B3Xll/4Z2npj40hdO4p60s/tpOx3CR5gCOqDc9667rUHvvaWSeJBxupOq8HgVKIUO92r
rl0HsQ2+ZdjNOhGC8GSqw5yhGxC6ZMejMu3ciLnaXdXG9vNYRwgFdSs760Nl9DtSlxV39ty2TnsZ
89mNBIInF8pg5rXSIiNE6Jbym/y152ukXHg+aYnAUTT7UPfKvNPMIU8O5HbPx3Ys/csEDX6zqmaP
hT7IHyu89Nnts1vP/M/R8LNzE5mjERXzLQAOYwr+Pb2+bRooh//m9AKR+CcnFz/z4+Syf3Oo7gEE
cNf/qqM2oNP5OtY1T7dcAxv77ycX8WkOeUkg2Cx6Nhaiv1f/9m+ux7z+PxS8f7x3/dXCCYUBfru1
/A0Qri1skv/VjFpxXhvR6PanInPibVXlSTBVBbPYa3zTM9KVxI/D2dmIeNRjJPljJje20ZsGEn1K
aLkWKrHys8ZLGnWJNcpG7gFS0m4xB01OQ6KzncfWDkYBim2CEfKEUBQtTEfglqFflS9z6wziyh0G
vy0DlxxryE22LTtqcq1Ju1d3BvE9Y72AC46kZWpHqieSxdtd2tX+Rdzo8SGaWnLspRT3DWVI5uFv
aIYqs1ciSxnNN3I8gw+mtoify5ObZ8MNOTTyTS9tu8aBFkdvo2inbd7pxTnYsopRcBWeUs0WW9xI
MSJdAzurJy11bbgmoLmhkhdZ6cqTgfkiaBH6VhIJNwIes30lZrpb5z36nnWMSuwQ22l/Z8oGPRC4
1Hdvzv3dGOeSCTqEB4wju1wT1o0363CwFiV0PuiTQKfHNtXue+S1jq5OLUa9bQbTguAGA1lK1+FQ
Y31BltU8EhIa6tgjjBqkg+/H5os11/NVPM8ptHJzMN8yCsWzoemig2L1+WTZnQWR2UStVzP4m71i
uByG7J23tDw0vmPcGl2i5+sUlMcFpZ+/ssEOnhSRS0Gk7ORkJ12388l136Sz753mhklb0ZS0F4qc
qpgl7jsyoPwcx0r3MBTVAOo6LfFCJuaFZRk50uSYEp2sCNYSU+NcM1DXtpx93ZWVwMNFmVOd0TqO
Z12XHdHIzVj8NW/b2Gr6lCLO915dRMeponJb2amrXYAL1WFudKArKoVSuO85whvllbs6Qj0ssAKu
JrtlAjKbfnjMW815YC3wiBXSPDc1r77kzw+3WgaYoatMRIRtq1+qOQZTQL7RIUrQhQGzTRlX1+om
bj0ZjJ1sNioZJjrTOdx2+DWjf0/Wb3MVg0HIX5+sZx/tnyhalp/5cbISvm042LodINDfjs/vNSFh
FoBfyJfDauJYjst5/L0m5Pj0PZaqhv41m2fZq353qAhOVkY0ugunxWCa8M8cKvxlP035GKv4zHdJ
1KDgwezPmvW/SkKjjugn5/7kdgAYM+x9GApjMw/cRvg7d/ReuzCSWziawDNIExPasei8AUW0m5jp
c2KinL6Mw2poDkgY6oI1QSr1Ta3ZgwvAsW3lVSnrU21lyR1SRxxbsTW7eMbmjqIlTl+s3OYQLwnl
qvWQ8zpink2qVrkc8aaY423/9dva2FM7HESoFbgHjd7Nu+cixpgHZBNrGqpJa3C6pNua5ZQYx6KA
v3kbzRQ3bFnDlHUTyA/YkhGCFxd55jT2TgDdM91pmWo2sgmN3Zg5xkZOzbzT4Ww+wMAajH3mK2fe
WN2gIjIy/Xna5AO6TarmUEOOIWoNmXk9OxeD6uIqqM3KuU0cp10AqDU6ThRDO6OOs/42s3I8so6o
88vJdGJz17j8/7C9q6dZCh/4Gv7BtF1NceUe8JRY+ubf4udb8UPd8TePaFJG3Z9UP/zQj2eUmEdX
2DyLhFP94Rm1DOoPFhMOVQwd1fdH1PkN/6znwXbHS/v1OfzxiC7FD9WPa9IHujR9/0h05i6blt8H
8csjSnuIw41IGYBTmPt/fUSN0OoZY7j2KZ4BUN/jpSLicF2qwgjIjGIW6aGVSi46L7NgzjkT2jCZ
X+uatYY5nBcIzKc+WfeuHqId9ZyOKIeqnQPljlijB7vjgeq68CitHJUyc+Q5u65wi9W4xrDRvkzS
ZI5jWSfllE0gSixmDFqw+zTxW+UiQzIXIxrdLZx5XVtPeNRQLGTrwsxUIPGvxUb4xH2Now28LWL9
/KvTLSN1AXI69rfRbjG/EF3hTs66GlRfXghNOXuFWTsRSYjLOZdkfoCPCsuxfjNJt4jGlAwupwjX
Rl1uO4Dn66pI902q7RNiJ1dTW77pVptSs8CkQ1p9n0Tau3lRl+qigjc/WS5vTz6zT83DO6PxrotK
3/hq3KXztdE793LsHh2PQAtsFf634PJ/Zyj23z6IDx9lP7Svf3wUlx/78Sh6vzkLQJOBiPEfkMb3
63KJuSPCFdMmck6eBZ6T78+iwLVpMLYTApCayfX4+3VpAdAWJg+jtcBslv/0/5A72T4hDoYBwXvx
cyJJ+vVRnHQtGtu2HE7cLOsFcRgtWabe/6LvsDD8wzOP1omGyqBoZmAjlknOT8s3vOdj46SiPrEO
9++zuNEcoiJygkY5kux2bfXlIA48tvNtapL3QAUiHlPPjZ7rKvWObaT8M8MFgl27rT1dxcoCD1CN
VeCoyO0QYqad9TJS0HpXMmzGcZsalQjYNidMiLWcPPi8M1Dj1Cg1KpkP49rTIuwXDI7LJ3ieEPC9
uUWzWb7buZAnd7nWxKCDJDPqLMc3FyJHXUKWtLyrmBeTtmld6ngZs/MxTy/bPgMaip50HftXbJY+
7K7+UpL+FHb6ncu2oESdbmtOtTN1/hVanWx8EW79YmNPxSFUqgmsrEiCrjWgtDWfsUf8Wy1Ohll/
DtZ4S0xFsUFXkj6jf+wCP8qGCxxl7anpbOeYJ/5FjR9mM88mQVKaZn2KtINUHMb6qeybelOMjOIT
7D0bU3oXVu+furKTwWx6YxAls7nrS/deGdpTji4+qNIYLkjfRyYZsJYZ87UIsWx5OhG6YvkVvcmw
zWnvUQLh4XC8Mr7polHbAH1rN/6kT090nIBWSQDrV12GFElorfo/9s5kuW6jzbavUnHncACJLjG4
gzo4/TnsJVLUBEFKJPq+x9PflZRlS7Ish+NOPaly/DZ7IPNr9l4bYutyWzudPEaaYfzDfl/wkv1w
rfDpQFhJtnYuMCnemW8fsXpu6jBk9H7ZbvKnEfns3XIHH3VV+92+2INcYcuwyXfuptkUK/sInGIj
9oGffhko/+3e94d0SPmWzE5Fi9WG/aOF7eH774O6buxDaqfLQITHOSPPIQ1J76lGS4C2SL1NPQTA
wYSDuyuQ+kXoNsHR4G/kpPSqM/g6LyBsAW/XRyhh3rYVACW6roL7vnx0ieqGC6shmlumhzrDoSIa
opBcbr01mctiZURJjmVqAtMAb5X4ryRYCKOSAfQWb7+YBlg4sUMLbqzqruGh8CycRAU+LIuYc4uN
kl5tRjgrImDsmRaxsWaptyJYC541iSvjxOavDqGUtGb4PiR01jDzi36SpKDJilKTB831api4enL3
TZ1z/aVE+Jb5+P0hwm/WY5qsU7cgnUQ/6v1wiHiLGL0KQ9YlMV7JjoMAuV+DHFuLow2+P2Lk65Dj
+o/S6idfUnzfT/z1a/7w19SmwW2GNGwvsQ0+2lCCJviH66V191beX5T0/6vQaaqVW9e+nWG1sK1i
Pi8NOTJSs89lLD/oMWrJodVeg9TaVnV9QU19owfLJzusP2Kortd1UVen/4rjL8Uxf/U//oLrp+7p
f7iG426+fMpf/u//OT+lL3+9kA0+5uuFLMRvJpJcZkccVa5uckx8vZCF+RvjQIpciKK/hzF+vZC5
qlEd63/ELvEJv/avXPAMBrmMXYNqVtr/ioP9k8RFVZdTIUtodegXfiTIMc2nU6oL+yodMnasYV4H
d9OUFvUeLnG6Gwk5xdcG9aZGVAdSJDtYDWpNu9fsfRogMM1ngapl1NkNJOQzbaeelDRLrVtN9q5S
LWBHtYpNCRnQ1HLWVWvaKdO3Tg4HCAXX1lvki50MqMVm6AzB257XYeNbEIXMMnurvWUjq5Tkjrhk
MZCbnKkE5VZlKY8Y9DLClRdUhqMIb2uVuqw74IxbgSSyIJK5W4xLr/VegDUQsi6viIk5oJG4w++/
08r2g6aynYuA3WgE8lSlPhNi/iHrQm7t6C4X9vswlmTQSWp0S2VGG4RHM7U6mLLaJHrwiK/4qVcp
0/PA0Zt2JE9DcCDzCRA1o1+Y2w0np0tQda0Sq9NG4LvILmsEGZgXw4uacOuGkGs2+q8dv2jMxKRN
liMr0aA65ioZOy+7vU1Uto6ayKOWW3kLeXEpZjy3IlfbdOfjQtC2bKKbWSVvR11y6FUWd61Sub2Z
1kTldFcqsTvhFGVS+ZgyNWAeV/q22SzbcM4gj1bRJwLhGn+uyAAvjHkHWOyYsfXZEfpwWai88FEl
h8dNc18FkbUxm9deZYs7KSnjrDNYEdnOmlnOq6aSyDllCcPq4ZarlPLBrd9JlVuuedkeGNhNBjEU
Njc06YG4oo6sczskPGhS+ecECB8lgeguU0zCL8hIR2D4aBGaDvTi46QvNzU6QtYcj2OFD7ohZh0o
LrXTyK0HtvUyd+d92pLJ3lgqnZ2YdpbyeKgNm41JFW4TotznCAMpE/OtS8j7zKiHFXWj0FCx0z4P
KK7OzKnZ4OTK0dGhrs/Wo/J58PMDgJiV+YPcO4wgA44mdC3SBQWRcxqsdeGima0DPpjUIh5QzCer
OICEyAGz9TTcwKsg1UgBraJoPw/61cLLcDPLxN2lmoTrwzCXtE1xNM3ERJXgrcyaj1niSrtKwtAE
Ta+XGwIsMdHYtZmuUoMgJ8uMpwMCYntls+U/SjktzKHscYNvuUPSANpBp2AdMTdLPbzCj47+URgX
JuGX3KTeDR6tcN1myWXtcBEL44Fx/3zXGFr6WBgQTUUN88dkt2QETbWRgMNXjWOmWETD1WCBIiOt
mYRIhvcricFilwtPW7sFXFdj7IdLOApAV0uYetp8QQ7VJvWQPvcs9VZ9hiZYxO1z02s7A7THaiAb
snB6EiBsedSkaR+NMJPrskpIdEej/1EwZ1sBVhk3wMOJUVbNaxG52LvzptpqVQYZBInLp9oQH5I8
pwRu+W/HZpS7YgFdm6aZvStz0EqtlujMsOpyZQj19w2cfLVYwan2ol02jpcxbxRRO/0xIUoqGvmp
kVWQvFqejNncxXnQbUoP22eyNIy+PelPkcsmWPb8hRawA4zBIdLM27zIbyI7JphKsR7gY5wkmdGr
sdJ3sZ0+4gre9Vp7t6TDADYUvFgEKbYw0ou2bzC79Qi2cNTvgqraO337GppBtLa5PNbgwnhhkSyL
Cznl7/I2yc5eNFwX/EZZZwKuykvK7BAaHauKB8YREJGrUx/Il6kUBkLw/EhbwZDbmHYueIf/KoQv
FQI12q8qhLZ9+dmMm4/6WiPQmVO/MyQDSsurprSbf9QIwNLV/4xiD8nBtzNuPEqUFIreRNWPoPvb
pt0jEMt1+IwUCkzZxL/SDuLy/LHVYWggLJC1dNJEMHo/aEuH3lMpK854NTOPcjfRECSI8F2M1+FM
LUz47qlb0tDczMkwpPdGb2BHZDQfd4dqiVVkqLOk5xat97JJJtEtEBurokT3V5iO/WlCv4D8gNC7
hcSehiOOTR8hckbovXp6bnR3JM1gzuli1wrWAemryPSqcnRgpWtqjFw7oVhAU6YjKIOlRN+7cvtw
Mja5CJtlY7lGTkQVHnr2Tamx63Wkb7tmCC37fWZAotxCnyOV2ODAKRyr21faMO8nc+6T19GU0zZM
2NptwjBBLQwNVN9H8DmOWiCz5xgjJ+0xDoTVXM3DRsvYUQ55zP0c0c/ouYbZgzXp82CzOFyWHBG/
PtNP2TUpGvYcvTqjBsi9kK9UOhZCRBpvt+LfgWPGfjn0mLhJODxFIYgGqQ7VMM4JKe6wVrLcYkzn
uimndJdCS0InsGp0TWcsiXLEmGN9j0qMOoQUiSdDqnXcUobHqtGya4tecUXgibeTVfGSuou9MzOT
vNposHZt2cUbnahWyjYixSy7z65THWNN7QEZqgaxyut63EitpIKT5kuEp3zPHJLHYshM7JMWDKwy
dFe6oz1XKdxUZ8l6n9tV7qKmeXXHIMATT4nk5hR+65GJCz8TSc9lmbcE9ujJWmhRcsH3TK526ZTk
+g1+3CdARcCas6cc5xvPC+zd6JX5plVQznLM4Y40llyNfYBdfyE3LZfmh6xIBcdeEq6axtKh7YOC
KRkGrboKqEGPNWAHBqy+wcuDoCMcuxs3piJZZqPGhzbjs2FRmG0X3Zs2LWFpq5boi81kuIRG5cD7
gqlI90aG759VSb7/79h8OzY5lH5xbF41T0X4k9ZKfdQfxyb6CQ4mPpuL7PrNv/n12ER0YXAqCmW/
sInp+2bWaf7mqV2EtOE3obqmf/qjtTIxu7MikDRrb2S7f7V3wHvxw7HJUB+tBeeB7gnLNFQE0ncT
IocXcGRtcNF4RkQecpZSwfZecNKmWj8VbqsAIvrcf7SS6BgH8yPWBJKY3eSTOdgG8fT2CDmMbcWw
qU09YU/G1GZKALL4LMDK+7AZSPBBFtdCS4tAeXJiOCS9VGbzZGVB/MJ2PaCSLWxVIVBfF1izCuRo
aMfipEbB3QoUoI01bOsGXeZxdqFheukM06wHepzGFeb0hAkT+4DmVZMhSoU0D+HoB+QYCO8zaBDI
w+og0UwUstmAubqdeZWjJjxmPbqvpTy1tk424HhjmAs8LW8fmNqZgO+DEUaHKWZaZKtUvsXQbJ+8
sn4tcO+g9nJ2eqVdJ0Od3FaBPHWwZxFDywLNWGucC4KlfaGN6WZ2uIwaTktWrv3V1LVXWoqbcwx5
1WcL/2kJ9zMKEe+sMqfTKj825+Y1Nbu7ONPv0BzmNl6irrjWarCcpgWiua62YeVEH6Cz+C6Iq4Bx
5MVgZWD/S3qMFqeuqFzIxUQx9sCPvdnM74h0GLeVpP5060WsmybfFTU/bgVhkDsP8NjiOmthFNHV
AENqH1dJT+PRbrtJK2+dkaaPmEhAXiQ/eFBDKwGfNNYuyOhG1WagZ+sr632L8sONSL1t5kxu9QyQ
YcbWGBYvdNjKrZgZ9XTchuZx7xZk8vntzBrnm1fxJ1Mqpg/fjD7fRo4s7mwCQBxKAhLevn+wEz0a
9dSjwRJ6RBZzNoqnaFYosDktoi/zzf+WPQbjxl+UjWX7P//LCZi9tD+ZL/Gh3xyCDoMlxjCCnRsW
kz9rRw5BNjpqPs30EnP5N/oI6zeM55yNWIaY/Kgh0h+HoHiTTlBW2pAb3xJY/z8WPqDcdawnnNA4
TsD/qSfpmz0MGxXarcJLLvt8s9gu+OqdVT9884v5ydOIbe6751HNwlC1cdizabbQB9v8Dr79KnXA
WMpe7OSyK5M4W5dS5zH0IGr4gSnSTWK2DWIhYZANxPnRq5MkW4LTwPjlVq+imywGq2xH8XnUdWZH
6iQyZI811oh1X+eYGkV+6IfoIlbvc2+cdY6zdhYXNcfb1JhXqD6OesLBmasTMNFrb+uqU5G4iXkV
c1CSmzKyGeLsTDqieKBBvMbqXKXC4oglloLjNuDjJ3UCz0BAneOoLfkuGCd33WktrBSPvQivOVVz
2hUojYV1H5ieu3Mz2/wochikGtawXaynkbOJ+rrKNuWMu6QkDAeSFrDMfejBvDsYJiAjOmt56czt
TKsHtg+uBvlnq86sTHm/iNrBYS+yXaMtjr0zyhFPKg4Dmo7a7+28m4myhZV/JWuhXfD5qzXhlqtU
GXVLrdhJus21g4OIIhgpTONK/CeZlR77t40ZX4/tmf22SRNvWzXs8Lfll02bAWilVus3r3HcI2bu
8JEz2noYsICA6poRtr7t7iTCP24AYY/s9OhIHF8fW+99WUrgquhKNjA/rbWopghPCjBQljXzYRD2
QNJ77246fudnEHbtU8ugcZqBHM2TFCuvjg8ahpENWiR29GDib3HmHxOd9EqvNLxbZHF4fxJImnL2
kFJWhJ9NKbu/koO5jh9kbg9n/nTD2qnjZdN0LPdbxENMPKf46ECP32DaWHZdlxl+4QXWZRsNgvCc
ut055rAfrQIP+STaG9KvDSrs/CIusguYesU2b+Ibq7RJzetJnXWyfRmDXQ9N/br1xrvOcIf3OIvl
KzgDZqPp2hkn57WM+7Wdt2sWJcY7Xeu3odPBbS/Tjafl21QysZiY3LRO9bltu5cibl7mZL5HCkDo
0HD0pnzLAYIMfdkR+nkxs8EzvW5P8cXagR1XMzzrds8IU9tmxHua7Hiafv4EbYW6/VOg98Z6dDKT
Lga6dGoPj7YTP2eLY22cNm2PTK9C7EPLWeTiYIbiwqn69dinjxV/vrYzmWlId0OE8hZq+L7Xl8cp
aDdhzuqp1uuVCc4TgHehHxIbRoyBV8V23Wt+xlsb9vZ6ipeQWWUAlm/Q44vIcgCRBeKmy8j4G+vu
FIqJhxnGZlZPhH0H9AYyn08eL5Fesu3yGhLn5FlW5tmaygdt6fzUdu96Ed6wRTmjW/UH4Z3zfriJ
PCalotqIABIuu0Eij1JjlWCH8fsGU07Y6Jepln4sU+MjxqBj3KanMpPHpDdulpFFLAzDMssubCvx
66yeT4vr0ovSJEmInHXq7nvPXnsNU7mIVON5GY+yXOZDvZBcC1P2cz4HbCCjIlvPIZh1ezLTXe1V
u6DFIL/MWr399clLVfzXkxfx3RspBf8A///7kzeaDcICnAxAWZ2KDTGsM9b1OV0T05Wdu9wc1+4A
YLOMcrrG5cWo6vamrlP9nVwkQb7TdNs3yVmfgnXquQ/61O3qyHkt0iTEYQSngUQDAihUZuDCM01N
C8jRbnHzELFp1aiLXdntoeA9Qwbu/Thp7wUujQ1+cQD0OvCGrPDH2m+nA2t1prNBsTOSZiesgfSm
ckec7Oc5y+/Ahhx7CJFLmx3rHlxPVZ4lxfGuG2egZ3O8F1Nk+yRH+U4APS2ykl3IvbRu9fbWmnvD
ryLnqEce7zUaORAiBiiBZnqfxAOB1A7jbzGLKysmeat2KNqnOL0YquUyapNDOto7G77BOs7qQ/Dm
hJPsanMZbpGhbuywOmchME63wLuYjaesz6mhYQHzXZLgMbdEWjZXaZLdYg5nBIuvau0UWuybFc1u
01zHZjusc+JO6X+T99ZsYYuY4idPd0+x2rVOPKCSBUCa1gpGujOqHE218Zjk8zo34fd71n7kHDLb
8nPpuWe91geMFdrnwHAW6tR65fSImNMsNw5apc6y7hy7zgehZ5jmZni1jI6JnTT8BEMZGvPwylxo
cAB+KdZ0IvfwTPv7kry0E+qj5iKjkz/8+lH9Sy/GYhzUg8T7ihfIUqyfb0sEhrIjmvIcLmgfr83k
2Ij+HxbxlEw/FsWMydgBwV9DRKI0rN9+BdPBACSxu15mTkK+21Xcx9T4t/hueRKIEHfqrZdsfv1T
UW3/w1dVP/c3BVZfpV1lmZp2oc/FHd4llnX8A7fiB6Zb9GFIyfxO2g9OYB6GHgb6MEHWyopRQVVj
WsJm+VBq7jnuLN2H1LLNvNF4lpHlrnM9ee/IfFyH6XxyM+vRCdLpaGSm0/M0FeWmX9xiIyutXhsV
HAm3mOdDP7nmc1mQP4ZZ09zEcfwp41nd1Dq515zA87qjn/AZKd71Vraw6EjfM7kXhzwERjR3nxmK
77mU3rVNs3Xakdw4O9mbeqSxaKNCycai2M1Lr/s1cNp1M9qMkOLpVkQFjiL6tdoMnRWoxBMP/Wvd
jkS2V/GhsUhYG6130wLURE+PdleyMFIssDgg3z3pCFh0esyXS3JiM7Yu5kCszUwHURKknLL6w6AT
vhcn+YWMpl3RjJshWHiC9U3ahTlK+AoVSy5X1ZLIdZMFFxXM6NB28Xw6i0/nfIfalgKu0t71HaZK
0+x0f3G7HdIcDF19+eSENdbo/KamnUO+jo7FOA42WMnBNvcuy5V1hSO6mKP9FEA1Hpr+snK4I+Gw
H5hrvcha7/2ASJzatnZhZZ3d8fd4q7/VmrzhqP6UUr41ft8946oQ/+ZpG5nCDAIs3UVyLq7DS21b
n+p7Qg4PRDueJVeP/0mMiF2Mi+Lj+EVh8LdfXE16fvKCMVRBZIp+zFMv4DdfHBWwLFIwbRfV2l4V
Z+FXW1zpxkl7cLdkfr2/0vzzw7Ah0m544v9kl/NZXx3jbXBpkvb1D9/N9xffl9+EibTMxo5IG2X/
0ALP+siOz0iiy0i/Bj24ivWHZvgy+vvbn/j7M+uvX+OH+dHS5Hhooyzicn0JG2Iib359evz0Z3DZ
+TM+M8GH/PDXzCdnYQlZc3lr17XH+2BTc345of5r31U62N+37xdPn19+JtVUH/VH506yGQeybRkC
XSQqjD87d5wNOE3p3enYcOc4/KuvyhBi0OmloWdy1TD3/Hbr4/xGsCGGBz6AaaOabP6Lzt1y1OP1
58uOblriZUNGibYNIAuD0e/fN+APcys6I7wKvJx2FkB112KMzGBWE036UMGwrqbOWy9QrV2Fty7y
kKu736NMfbEUAHv0bE7GEX+rm53QlqEJ8xLAaAPbIfjZ6rwGowCMSMLWJs4L7mPseRsrrj4ZPVHP
newvuz70B2N4dCB0G5C6bYXsjsPoo+Nla43m4Z6rXN8XVG9hPga+G5Csyrddbnso4GWssT4wxCOZ
CuS1KlQ4yGL2DZpjbQkWeR3G9gULBZBe9BwbWSZYYKGOl2l0A4L9aYFGrinSqKcA5aVNR5diprcV
vLwHEryqgOWvWrd8lhDOI0jnua1DKR/5EXuFQW8r41qDi55kRNPCSU8UMD1pCJdtY3ENu+FaL8xp
FccZae8KtJ5RXewcqxqQcI2fIH5jMjP6eJVGkhVEZKP/1pN3A/R2tN8At3W8vq2ZuWewbnctrPc8
N27aYmy2SUZ+ggYPPoILH3XTqSqJTnDHCAIg7PjQqBI6NHbU6LTLVdnbEKDjViob/PKesJFiD96i
hwjmJshCwNPjgUm2BA99Zj02H8MhItC10NEKKLC9OUptU8G6d2rwApasWFUHwc2sgPgRwLftHHKb
elkOtEmB8wuF0C8dbVcqIFjsUsTWH2esILs2NNU2MKI5DV2QzjD5YWjij4GYD6Y/APZfQ0FzQfhT
F3/qvIjMAIX3x1+XbzKF/J9g/2dkADhhU13EaQUhWgUEYAzcJjF8Bp3sgDgwus2g4gSEqG9p/KK1
i7RonajQAdnjF9BVEEEj5twP++VT3+gmEPIeUIUKLkjATPsgK9x9nBBrsMzyAvGJt5aT89JUBEgx
9L8sxq5Aa8yjTE83rcMhBrMfMpcyNOeuIEVhUHEKMT3UqpVutu/aCdZaOBJOTPxCQNfnqkCGMcd6
gH4KTYmKa6jJbQh0xDygHKw9INZHLxHPdDs7V4U9iKm90HINcIMmgamRCLFE9fPsWcg2R7cmo631
EATOS2cdGS4bKlDCpmOdmjlfmSO5GNHDFPLOi1SWDE965uiQIWazM6/dMX8kkL6FSB6zUm2J+MKq
dz/Rb9MZIVSYYg0HJbD0siQdOE1LqKf9uBszTBJxiVamiZHKRqFzgjtZr2pJdhgQ7XdLGVw1TnXu
J69d92XxGnf1nTCjQyHkaZC4u7vktCzRTtA4R1p0oSdom8qZpZ6VIeXOG+tWL51hbfB5t/VknKTJ
1Idm8AD5TyB25Rv3wn07WicWpK9O527bFG5jScBNGeTzsdTmJ6GKvNogkKOeuhEM4OAc46Xbyimc
gp6Q+657KMJ6KLdTVFkLuMSmvDPHvr2nlR2ZTAiw3o7eDs3ejKX9MUxL+9i1VRZeE0IXykNXa9bH
IHREcJGQRrzLvZSEbi94MJhMoM0WPBpBmG0Cnpe9VQIdHxPEIyPP3cauaPp5Ch97q98vgABWjAn3
EdQTvOeIOsY4JLujDG7kslxNRd/5UKYWH0nfdeaElNkAFjZ5FXM8pZlAL5O8ho170ziI59g1bWf8
Z3tYnJnvVu4tMx7mCcN9bUNB5y3eyQBPl4fOtNaXa8+KT306235V6U/GxDleFmQCYXkxRiPzuy5o
93WmxTxrwdWc6sKfO5ijGpSqVcG2PD0UioTfmsWTWw4sx0Tf+C64/DhNngX4/DKZnidw+kXNXmsB
sA8/hfdQMfdd4Pv6dC5Q4+fpXiLIKpYd3dZOG+RVqLj9AwB/B5A/dC8aasj+Loh/g4INoiXuzkzx
/918JJsQNXmksgEalRJQqLwA8lZIbhYxjjdccTOhAuagG34+svcVTn0bJ+S3Z417Dqr6ulSZBLVK
J/BQotWRuLQicgvskLSOpoGTSaRB6pTXJREHGnB5v9QdbAbDp2QkBWGcstOochHoyU4BvE67luyk
46tZJSgIohQqlanQJ9U29nRCHSTJMXBriGYIfUcrjVWPwrLASOsTq0i2WrbGoXjneqmJhsl6cQZQ
KKNKdTBld0pUzgNSQof/cNo2REBYKguijyNUacRDgI/lfEbDmA6k6WjxHejsp7p3D4KteAqYeSBn
IjX5U+sQpxsVQeGSRZEb4UvieXubjIpS498GpFZ0A/x6UixyEe3eyqj/6knVa/2qnoQN+5NFEB/0
tZx8ExrjwmPIwToIoeI35SRCY4H332EZbSiD3p/lJJQxkpPZG+GP+12e/FVo7P6mHLQWGyImGhbL
lX9TTqIa/rGcxOiHyslCSMR3wSf8vpyU7JrIfNGXKzOP7muTeidjVEHcQc38YMm3snZ2Bg+RPWsM
Kbx7QI8oFXtW1rnnvEskQZRld8iTBEODDNq165LftYmZrr7PSg9QgdBvQq1oDh0HIYFDWaI9CzRt
aHoMc4hObjAALLMLneyZzE32bcedl/dJf6OjVyRtwrkbU9WrE6FFtC9KkMJcV9FCxvxUvptn7R5K
5XuTkmilC85kvaG+0GZSQOXRgPJLJtOnZjHZkBfjKiTCtUrENcfCvRjaYh11vFlBp6Z+DZjioHid
G5z8EbHAgYXeUjRMS2wxXXWN8VRnFAv2YBJeXUaf6zFf1p3OCNub5CbUOzJdysjYpnAlsNVr1nwY
p1LzUXaejN69MknL7Y3otPSKShW5KFMjZuRiODVD9RDp3qNmuYCPM/MGb8+msyGJxrjmm2R53zXj
duiN6tIIRu6K8lXo+DGa+NbrVUVKYGwV5gcjn+/Ttj9p5fCqN5Skuja7vjDNHnEqskVNSzsQZum+
btm3m5Hjk/Mh1oFgQmHTxl8JtFIoa2rGUR35u0QE+52i4ZcJS5ccfdRGpumCXoGMThwan6IZjJSJ
GLkLEn1FSJ5fSMGJZe77vrkKMuAsJrMlMBFNXaHhcvp819ngglfk6BygOPlta190E5QbsxTCj4ph
a+nBcwoVFJoZQWw9hV8xPYVOCauKu6jMPIbxCmMcISuNTO1Jb1j7NwOhaQZQLgM5OaAeecHaddhI
nTg20UcOycomJN6iuYtaVjug9JCHwoQD40NSMjaNfTRMCzjdzOIacteSan3HrLbbZjz/lz2LSFez
DpCu7lnQ7vVe3I9DZ/hh1OrrrhUGswyRnBHPUd6xnd9ENiTJYCBLrpiIDwJSHexmw9Avq8kUN4Cj
qU/TYedZFfOv8JinbUAugXhirGEjRJ7jK7xNROXBwJhlvu07XFrIVjLfHovnuS23Yog/lCGZBx6o
3JAAZD/JZrxqFpTkKf9yuv/txOOHiYQyMHHa4MvHza8M/D+0nJU5EXGgecZVlr9Prc+2vf7HQfBP
vgS+HvzIOmekzvLi+2NorsKpRSZjXaXtc59ez9W7wjv/d0d9kWwx5fr1HVWV7dNfryk1tf56TaF1
xUlK/oiax1twab65pvTfMFmZX64v9CV/3lIu/lTGaX/wcHgu/rylGHVwpbH3tyxXjUr+xdDjLQ7g
x6EHVx6yLctEO8ET8v3jkTRaKtxFRFe5jvgbfiT5EpOhR/JgN0URXpdUyselr52PTmSNDOW0AscD
KV3jY7O47b0XWeWd58X24hO4MRK0U7jdQ2v2Bv0DQ4iNEyXo7WPtfhIcPlO4WH4mROqLybmWUEx6
0oP7AXhrNj+N4fJEvrPFm3brtDInJk3fiSyPOUDp27FEbqYBbr7WHJkuw+1qcROwkG19kp2f0rph
HD5ib2BZqeKIiN+ArZeBhpQqSGhSYXJyZffewQqbZjUgSqpy59Ya7Ns8dox1arIdC6bLRYJc9Abu
paK+q0zxMZIJMaMBd0VRIGJCfEsIa+zlPg5ZNmSWfZs47nmQ7QeRgw1ziuwMHvzURyntYiDIs2td
KEFNiFNirKRfLentUFcgO5fqwmyGcrUUFOuNMqw0wPXJBlQehww7Cf7PyJ+KMDsXyD4Xt/oATWLw
W0Ov1r3evCxtM+MomDLAgf0+a5Od7uV7gy6rct2ERsbzgZpP2B3FlhIWH0jC7wB8BUDAQdr7uOCf
rGHqof+V90WUfqacvpEWCMQq+2Sk0TunJPSz6xLrTI7oAS/GTVypKBrbjXz8UMEqBEgTKn98mVm3
keO8sxoIYuwCPjtlcVqQOlQz7kXgcXQuhUsQ4VAmBHtOJ8yPfqePmGHKYpfFGhtkqye/0hjwRxT3
idOy2XPGeEvHtXEqEp1tJGPaSBUQ6XJr1e5w2athjju3ssP1cuhSJ79HkjCtm7S/WQbuMtuMLgtI
6CReEXKZzP37Zk6eg2Fkhh9hybYtfes28gGf+Ac3QGpIQZLl6Mwm9W3ow602w+cJlqssJe81Flsv
uOZhLS/J1DpnXnq9zM7H2GF+UIAY3zYT4egWbS7yxfnUOTx2hp2cS1Fy+WFkjDT5oLlM0jp7jH0j
mQJfaxSCPr20q/yKWNYT9szroWWW0SmjUOhaW82sP5IGQyyqeJ936PKc0j1Wg3OF4NLk/qc08Vg7
DzXFY9C+w1HzTA7mReP0L7hb37WdezBIQ0yG1DjoZD36Xea1ZDnyd0DB+zkzRl6xBfmynDKMFYVz
xQ8PJXaMPtTwO1eGnl+JwLhm1bKtvfRZ0wJflh5gzgj/RW7m1wo0TWtG2Zl3xUPkMF7n2hToPYvs
pAEHBxsL6j7AF+i7OQbiIEg33ZzdGG3wISPm08cWgL6d1asnl3NWdBe9kTKNsR5HJ3+imiRnjy86
ipukitdZQOIawWFtpu8s09qbFbw+cjouemp7gu1ksUWbt7aEomUZ+NTs6Oj1nXmKjaa4aQk3gOI5
GEpUUBD7KMwFvlSNyiORD31eZAwKcyLhazbs2zrTux0jK7bIRQmyZbLE9TRbADdj4zLixfL5m9sw
talM7AEeDrOW6WGpQfyS9ZOdEiuxdx2/gs2YadnewAe0Aqfomsr2HeqrwemifaeZKOfZ6pEFW+nG
VkuC353T/7WSgkn+L67pl+Jz+Sn+WTK4+sCv9zTtJGAjNNKCUu6N+/CnJ8VSiwuIJGRcUUWpXfrv
2wlLJxwH0jWwOYfFgWWy7vh6UYPBY1mm/x6n8y8uaXSm37WSLNt02xQu2wnAMXi0f1y1uzgzJdYO
7crQMr/vODV1a3kJRhRiqY3ctjf1LWqgbTOHeUbqZtXcek2u3Qh30ExK8bJwb0MmnBIn5UxuVWs0
Dww03fmTrXFuOlGQr4QygSWkbq1aIZdd2I78E+3yDs620kNjIAMLM22GSvO2De6yokr1T2GN4awW
U7UtlQlt7LHDDcqY1pX8t6Yyq/WpaD5WbwY2ZWVb4MQfx8I9JklDCC5GFDLQWFrjgOsF+d2T4I1Q
5jgaEmwfqtnANzcrA13u2hsOiOFSKnNd3iThxlOGu2bG7TkrE16TskeGeL8yZ7IqJBf1SijT3oIw
B0lyew21gfNy7rJHLr/5zjAeYosA8FZLL0H3Rms6+htYuCCKcQgCZaZt5GgcWdC0MRmXkhbd6sh1
lspg6CqrYQe381i82Q+VEZERq75p39yJDQUDByqWxaFCacefRbsix2Ze2TgbCao2/Y6sxlqZHtOh
nG4Wju1d0VrpzYQ3slQmSU/ZJYM352S6LPGWKwDbrm8WJK0kymPZKLfl8ma8nKb/x96ZLLeNbFv0
X94cFeibwZsQbEVSpKheE4RtyeiR6BLd178F3esqW+VnR81rUhEVsgyDBDJPnrP32qa7pKuOHTOJ
gOMsQOgEt8S8l5vuPcmLB7vYFXXXsZhhlAxsxT3GJkjCResFx5SsCrc4apUMbjQZPWcRaSZRYX8K
a9QxPYTRFd2T51Rrw1XQll8pM3K/VcJDFkRk9yTjKaMjTyxQ/jWarCWyhPY04k4FQ2I6vlm7EJYL
yCNKZ+/qrnKudIvDbpeMt1GCt1DP840Z8R+vpiU8WNJdmOOM/4olYCFr0eoyQATe9bp57KxSuRoN
B3ssDp6z9R7vVNPKVhtQeIavN+D8YJi3B1g8zKV40E7YWOx1XVnV3jZZxBUhGMQglkBYJTfgIl/m
02mrctIesfFe9QPZosj7tbVlBi5B9/layb1XXWkI5stvhJT3gWIcm9JBV6Mr5TXJ8ONOnzleoZi2
isUpP+dEfqcmQbBy3bdWGfZxhgDJdA5jJLyVk0SbahhXNu1m7vnkjsXBgi89dcre0uJDHtGsjKUV
HAuX+UNul8ZaRuFtNA4hqVTZrk66bVrxJbkRtUBPgJ+SOMGCIcanUPa8gXZ8GjpByk/BZqy0XQ5y
lZBeO9t5rbVy6/pTXuMbQJ2HK/Or7cQsLfmaqn5NkomvdhyGQ522DifkqEx2DghLr4csrZHXF7Xo
UOjn3ruZeqJouyflxyXGzxM241OsFcA0vpaVdrEmuXOINjHyfGW3MF7UaCDWO/Vxzn2KbGNj192q
AZqP78I9N2lxcYX+6qW8w3lmvLXeeDEVQlLxKBzHaoJjaPol3zECKrzWqM5QivkdycSI5fIvmJfu
ALUjMEmTHYyI8ySGUw6OG9P5LhjE1smFz0JKYWGpN6RlExI6+jqawiKQSwjjC5hZG4rFLckGfl6S
N9UMa8WatXh6/MV2pZ8p5VbB/pxGMLlLcSpK1V0VqthAD0X5JMOz3uLG7cLtoLrLXCgHZpfrMYvp
LeuLMR38ilcEW6QfwKKhGwm7PHurszcRyAuBrzyRKtHjdBv64slietVMIC1NrkFXxwzIQiXJo2nt
NccWGu/DxRy8uyzBgeFluHGJut3kZu17AXh7kn4wjqlr18u/jugeWOHWDHf9hvhz28UnHjbRjjbT
liiNJ1VrKbHcW9sun9youYTdeCPz12Is3yqVJBescwvHiNdgjNdNQIZ2aK4i4nFCI7oxIBSLzrhQ
bH7VlHah1+pCBdJcqupW8bqt2yhrNcpuEzJSW0u752izcAi/WdhWuQoUaJiqXPMqXjeeu9aM5soI
Ri5YrcKSD2womiUkkALOqv6ll+KJv4ppNqCusTFLQixB6jhR78Nt/dQUDb0yZQ8beTcpDpJwmPtd
nZIQwyYRlUFFBO5Iz8t2NnpL3KssXloYBmPp7BAi4AaEJSDaeluApleHnKOZ5aGh7J76Wn0UdXIR
isZwZqDaJJ1B81Zh0W6d1uLpdECTdTeQCPclusdOkbdZ7GzdITgFc0ynmV+R83CMYJaQrkAEUUYi
eTDPOXroNe5NUnsHQxueSxs9a03rUPfc+6C2b5q6ORWNdcGRry7gp95KGkVdyXSxnji3Wdkhs7Af
IYha9Izd63mhmsTTmLZ7vbY2ZUl2GE3UBAh808+OsoLpS3Ffl+OVpou9opPPS2Jz8Bl3a3bb4Pbz
J729qplfT31PyzJl40leGWLeJ23OgATx5sJz2mcTabgOHS0RkBli7dXOacu11VNaRztV106st7gq
65Q+d7O3pln4RQS3P6nac2Q15doz0ru8bsHaDukmNbRzkroJp1lamqI31hgstkFq+72u5Kt4En6H
r8EJexI9R30ODyU+tTgzi90kwXA1FONrqaCDJyO5hdM7I+R4AwiXSDpnJWW4qiMFmA0VQtpKP8/Y
JIBqbDvFfe06aw0YdhN2zjpWhxXtRtafhuFdOEzrIS/2Yxvu69a6QxKBf6ElHrThfEZsADHKylWh
kz2mMo4yaStrYpcp7XGiRdLU5RfpzrLexoMcN2Cqoteaq2x/35W057+je/7e5bPQiYEtM41ZKfZR
ntX2dV3LuFBOas58Pl2I9KIw5/r1RWbN6F8Cmf+UoYjR6KYa4AcM/UO3EmmJaqPuUU6D+7lmxi2f
B4Eff5lj0v31lX5W8H5/pflf8p30TQRi1IhhUU46+YwmxyUHX9u0E/ZDIl9iYfu/vtxPPz3eJtw0
HAaZG/14OZ2RvRtkIjx3yksr91X4pci+/PoSP7sjqmWKZS5jmB/FRYENu8Iby+hMiGDSb+Q4rjJy
ovNwEzMW0dvf0Lp+ckcE83BoobFMV8/+IM6dZR76qLbxGdjlIjZw/cJLTX9zTx/0evOx5IeLfNDi
NoHSWnbARRK6aW19SLxo+etP7Xe3Mf/8u+egaydaINBDzshabFTbqbgLkMj8+iJ0YD8+1j/cxodv
v0zHtOzyJj4PCsnBlu/FZ9C0LHDPFs295qTL5jdX/NltIa8CiAKKyMKr9uNtpRAA4yLR4rNT3VRq
6JdEfgZff31XP7sGsATbBOSlw1j48NEFlqHYblcn56KJVjlR54Xw++z+1xf52UcHeZFpCURuR/9I
DBN95DhxTNJiXT4X9iHipJiwGHjBbSL3JnqXPrj59RXnZ+rDGsQS99cVP3xZ6Lvxg2gjMjKmWDA3
DQqoX19hhld9d4kZIGFpzmympiFu875+WHzIX4FkMGj5OTkwXN2xeR4hBq2sm+hi+USOrokQXP/6
mj9e8n1l/eGuPlwSgWA+YM5Pzp2NAJzeow7fVxfbX1/l558djX6VndOCn/fjY2dPmu20qNzPQeX5
OoohEot+fYX50//47SDv5GnzGDoxSfvxCiVcWUSUSnJ2OPqOrk61+RKbIePh5Df38rNP7PsrfVjg
GH6KmpZmctast8i9sYLbavrN8vbzSwDx1TwMpfBFfryZWEs715zC9FwUJwvl9RDrC13av9nqfvYK
8bD9eZUPX31ad1E7hlwlTr9kymwWX9Xm2kqln7ZnJd1k1m++o7/dFlATx2HwyBAJwYP5YeIDJN4h
SF1k57bbVPVLb6+q6fLrx+BvD9qHS9Bm+37ZLkibNeyoys79VGDNhoSdWL/52H5+iVkSjBvWo8/2
4yWSYciVjJPWucm+KNOOIcFvLvC3R5l7II2C4eycV4fu/ccLsHQ60B2n/Eydl0t0vckuxqpZeG/v
n9W/Xdk59u9XXdn6y9vrT0an/NafLVm6qxbdVQuj3czH5kffeBe69oduMlH16Ieyan3XkjXg51MJ
z4RQjW7duy7oW0sWwTjzdodxp8EMRSWa5B+0ZVGZ8wj8tdq9C8Ydm4oRVhE1o/mx6DYUnV5IlaYn
TTXb+spr41L14y43FUSgqYOgxGaa58sqqQjYSJcSVzUmh+2w26lBsilmpfDcgmrdB7o6sHfj7g7q
Rr1Xh0xET8EsHrRb6HAjhaufvysLU6S1YHm2pW7hsUJ/KNLxNChZR72ifwp4kH2wNPsSzWJhD3iF
UDEOqBnJgZ3W0h0eUHi/2qVzKQ3BX2BM5TYcLDQwrtiajXdDrubXTtT6Kk9yekgaEsqyb9P7AFUl
cR4M59QRR+ignVyUl31OEIc9izHDWZY51O62s0soNGm/DWz92ZwlnL0gUK6bZZ1CVN2KYiLZlgY0
XQ+jNEOoAJVmFT3JtGqXhVWmm5BYKOAOTEGMeR4i30cj/TwlQWTCEbh6H56QGYR/fJ6oRBFI1XSe
spChmO2hO4YXZ57B2PM0RsxzGYjf1imeZzWhxtRmZHxTzXOcaJ7oFPNsx64wJ5EB3ayj99EPzFbI
YoyDgnkuVMwTItB5eP3mqRHKGgZIyTxLCuapklvWnPxyb2xC/g1FFV+ZjmJrOy+ls7zW+xTSo5Nq
n7XKMJdSKiAzkuQYgTuGRobuH51OBGtuzuVdq1Z+Y8Jc6/1hFEAY6/QNk8Fj1aQHoaI+z51+kyEu
9Ql8gLSiHBvMzQTNx0urzC5DVFyVev2sK+kh6TGpV3p+R4xiv2oj94uJhlMPnesiH5DLRq2TIskf
Y31lGJ0BP9CKkukIfKtYqATipCXQdMPsArra0U7m8JxJ5C4Wg627q3wKv0wDy26gCsFhmw6pmOeb
lldEtHutL3Se63m4mvrQQJqlATJXaqRw5uN9OLTDEm67RZ+sS/xxpHUPBfO6tft86aoW+twwj9Fd
huir+ZMAChcRrRaHA5SfqrMpw/JS353MjoTuuFuqg3rtWORIpDVi9rHEZ62q7d6OB5I6LVrXcdYo
CzXXX+xBw3Uxitt+ZtJ7I0FUQdE4iwp4lYeEeTFTvDE4OG95EL5mAvkAb5ffJiMGVwobaaF2Gzua
4SpyM9mM+Upoc3qD6L21y6OvaiaJ02rdAva0Wko5hYYw0urEEelV0bTi7t/94z/iG0q6X+wfWG+p
5/7Dpt29/u//QHM1CIbml75tH++UOZdj/bw0M7zjR99tHwhHAYjoGMHmwd1fEz0NNB35ebw8FLGk
ZP450Hvnz8150wbJCi6heP9IH2rONdAPmwewdhcIj0YcEaand8bHd0fbSlTIkaMkOleSzve2eme5
Wc5JAxLG4x6+g97IOeihvpEhrnoYaGYc3IhVsl6775i4/h0ZR0TTFjCaEXzCZJ+owKWLTNlz04Q0
QKseyUjBwhieTWDTOTNtMyo7X5P6QE07WVMW+1njBTOarHAMzEejjbmBVc2joV+P0pnw88ZVtHXQ
/ZPilFjKwhiAV2yrsPYSgLMNe0DVZ/UpxJpAq8EYe2cVutgTFqlrYz5ppfJmIajb/Pvovz/F88Py
/z/6t58KqMx+9ulnhrv5V7+9AHORREzkfNT7FhT55wug8yMeflxzJolss3j6L8MddS++Ouxw30qr
v+onzOSG7tk8sbN/8h9hFs13bdkPr4BLXiTvkokEkqu9u2+/ewUcLdQAflqCLh9ALOazuq/1NMaG
oWAePYQaQYjpOjOYzuSFXjLQjJ5zz7nKO87gPE1kj1w7BAnxRJ4mJVipJtVWxkJ7oO8uTkCYH0bV
fHK9Ul26zQjzXcEBNaZ3dh2cErXFy5+GKUt34mB+MyZ4eVNSqqsMxzZqnXk/0dhYpnmH8ea9JmLa
Cg3DRcWttmBJ2ZKmeW/SwnGpsVlNgWBPmfcvOe9kBPheD/PeNhKEBFWgsQCdsPN1nXoPsWHpJOOq
n/fG1jNT337fL9k47XkHLee9tJp3VQCDAvrMvNMWyRcv9tzVOO/CgFFTNDbRDu1YsMvmvZouwkoU
irpRGYzuLUvpD7zXkHYoZtiTk/u4IvBNyRDYIu49CaX15+1/0U/Egtnyjtfc9rO0ured8MT0DlCw
0YMBiau1UQUSqwOo6ULJSr83VQYpDN4XaSWPTPfpzY0Cw16nbMoaw2ChPwA6vHgJU9ug5/gH8GPr
GBXupzR+7TTjGBbT9aQzvZM0tTF91ACoFT+QQs4gtoNEdEdPHWAbWQy+Mg2tL+a6sBFo8coWHH+m
27uktW/SgMkOrktG/FO4qszcXfeK+FLp0BZ0tbnWjX5lVhjviMHL0RJqmdwbxkQf3mz2VcczE8jm
XMU2Y/2Uj0btqFdNuMhNEfpNIjdVZRwdK4Jn6yE7r7pEbFOtWKalsqkT5ZwOojlOVK8LC7OXL137
otv60SszTHFjN/hmzgRcTxlHGMTiLTKzbVZJqmLn6wNmn83d4A3RukuKY2gGL2PFvDBTXCQYhr20
WvXBrKqXxGAUqGXJcqxIonLj8AZX0UEb8uUUDqRUeK81DVJa8Q2fYWPvwgq/GjCjQyubUyyaSrkR
uFKnt3FAp44Ca+ml5QOgyorpKfO3eDKPhSQqOGm9Z5Gql9aqX11U6zWU5HIK1yHcz7LpOeUo61rV
AblE17EQV0PSXDPyOhNpnS6rJpKbLJA4BQLr62QrkpFob0AXloGDzK/oplvdno5hVRNzlSGpCMFC
oQKxuS4I0Kze9M7UrBjabfvJONfWc6NA9syld194IHsTpjD6DAtpLaJLUVCV01lO5Ex0MWWZJW9Y
7BZ13y515AULJab+CqrgbDQtZHYDZBPGICHjC7R5PxjD26kESmXXksbvwARdB1/E10UuuxdqhEgw
tl0bqb0BOxfO/q5ZJhOR7D1mhJlKnpyipGovMB8tcloF7qA8OWbxVdTqK/Tw1Af79wC2/GAhoUeG
XppL1IgYimq4NU5SfnalEhy8FNDWAMZpVNVzLhAeSKfSTuQrETXvDCvgW2+SyO5Fbg8Xox/LnVF0
L5rI15WpPo2xAzQU1gYwiyXqGYJVzcbcEKPwWAyeXJLIC6Vv3HSBWKplffZiTkj4WqeGKsCqyIN0
ZhSLnW4F0dlXCFnuXRksuXLnIxm+0ziibyKLUJSp0spVOSTDqlL048BrcIbwfrHGZjtkZuwXWUcq
LJo/fRb7xARpMnyeYyQdotvTxqSxXn2KqjL1W4oYTCnZSnMZIHlfYs6joI8uKZ8J+4DGiJ7DV5u5
55wkFFgYfItdyogtcJDtTugm+y7ZRFXlUFdnAMRa5RUkGjqLtFpa8yzUCq8jgm5gXMTd3lS0YsUX
Om4xnFwGcEFaXkJyEmRvSBfb7wC7gjFduBtIZA+UZeoa+4i6chYwv6jNFO9YjhkFmsBfmfwqEVbN
ONjY01jjVLAlpxQNSn3YfEn1KPaVBk2SRd3UVRXBvVbNU1MytB0ORBsnPmLOjSw4G6XldS/o/Zda
fwrb4aKOYkX81Li2bGcvKm+raEp/F02jXPdSf0s9CjZOJjd5BKJ2yibD/7ee+s+pgPr+/6+njuKn
2kB+51shpWENQ4BHM1BHkPF+XPhWSHHIsC1OxIy64U/Tx/2rkEIAONNaOWPQQMRxRmf3WyE1B+HS
UvQAF9ClIi3jnzSiSM/4eJYg85tRBcsMFiimSvPPvyukmol2uLSkfR0axXQg51QtUYK4UWUulYEI
z2kxBRL7qQJGNVu6beAIxG05Hlu4qO9iHjU7ujJWc6QbkEMd9j1MSSbSDEkrYhUCdUMSN/VWxmLd
InJ57CWO6+WkhiaLYuooXrlrzFqjSOsse7iRiYMLNVJEuHasWvHlUDzqKpIdNJRbspBcgl67dlF1
kJXYNHPmk0qzDqR6lxT6sS5sYH45zLdRveDZwUGtDSYK/BJPf74vquCg9cPDCOlmASya8J8y38hy
h2wbJUfIKTy2k9hPHZJos8Hh9O0ytZcBFR5upMfc8c6aSvMlI1NAkU0K14HNmUlQif+GNCyUBPpc
qMWye2pRlFHgZUSCqxZ6nvHcsFCue7sDFAUM1Q+6qvUNZxqWaYtyAy4Rma4WAgRX1VeQ4ohlkhps
CLd7Vcxhj0kYuxraQD8PtNdhKIUvgaLCUNzGFtocQrkPiauDbSVwApwiCZlVf2gkRVAX03eYhHGr
IFmvHKmvgzTwcyXPsZkH5Y65VbgYTHGd6OICrtqn07+PsfhFA226DkG55pDrKrPP5ljiL4i6ZWug
tsxSMvZMXIhleGUSRFWXLqbZAG8fNTms2UykaxdWLjL09pgriNzTrIZiBtVPC8NHiSmCyayHUXc0
4qVih2eOh5CuvNbXqvaqk12Cibp+DAVCvym19uOo3bbhsCJJt4PGR2pmkVzCojvElrFMnVgubHuK
MYWP2aLE4bWt0yDy1cE7U1s7K7cy3kSmNVsNew4OR3FtaSScRwYSfCO95zxE7VktRFmdlKhEIOSl
Oq55zqpuloCJyB96x13OvEqpGs9qKQWluLXp+ux2SK0dhncgv7OKjJQwyx+bBNyBqkf7skSxZXgT
PPS+fyzoLywTvX0cgv5BM5s7s6GNB399U0TeKWksX0kQMVrt58FBuwSioqfUTctllWogO7FNG628
DRIMlyLRJEVFuAsbkzqjrS7Snp7RwL1UFh6QIR5JZE/iilAQU/NNVd53MQoxLQU7KezoSlHElep4
nwqcKws1rHRfF9otk+d1XJt3ZaNuFEOce5UaaYiNWxP6ydKNVMyBg3IdRuYxdkrFJ3J1PcQZiljq
H5JQPuXhNGzJTNnKrjaBHbmeXyio6undChKziucE4C+fD13GbJjcvaeO0DQ0ZDTqVM+J0+u8x9Ie
6Jj/ALPaC1vpSaMeT5pmonijEBJ1dY1P5R51V3SFIzRb2drwlsbeJTFByttGGSAZGqBFTOPXnlSq
RdcB+gtC3fSZceKkaWaSoQPdK8jkLcAuHh0mACSDKCA+ynhEbScs6rBom4bDJztqi1VrF8VqsD28
AtVRU8y3FF3iUlDDoB+GkGCBSgAU9LUGnUCNsB0n8Vy8MxWAKzgzZaEEt6DO3AUKPuArEg/RoJu7
EJj9gmjq2XyaHDXADcQsb0ZADsBikXcF+zxLdlFb3QZR9bWdyQ9wSw4jKAhbKe/KmQ1hEFW3UGde
hDeTI+qZIQFhfuXMVIkEvEQxcyacHuJEhrXRmhkU/UyjiLv+wZv5FFLAw+9mZgX5K8/DTLEYwFmk
M9cCOrzAVauDGgF6ofdv/czAILsoXhWjuY/s/HkY+UQ1D+1a3+pwKMXDe26H0WDsNZm1hsAixtRB
GmYgkGvEF1jgL1Otfu00HgasI3dlzRcGOstYWllLmR8W1brKnXMHzYb0Do2OaK+AhO2u0YFeuFVk
49FpIicFse1MEesUfTFBeHHY3JeRq+4IPUecGrjDzuytW70MniIH9GCdxW85575FYPa4bBg2bpu0
uzcKMIHobSYEqu+x6v9WSe9VEg3NX1RJl7h7q5v4lfHmx6br/It/lkrmH7Rz0FG5KhXJ3D79s1Ji
MMe4jK6Sx+V43f+qlPBXMMLDIcnEDs7T93Rm4w9msEz/YN7+12DxD0Z273qU7ztODsorfcaXebaN
PfujLCrSCxSa0qDCEFVVOgclQxUK7Ii6PFeXnpmkJ0/qRrqM7ECTSHDltNbYrRyOGAyQEDtnJykq
BULNoOwsqzCOMlWIrdWbYp/DjbodDbggcjDLQxG34ksbtv2Vnvfpran1OLtE4hV+OzhvgR6bW0Fs
4Bo+58z0w3nxEqmq6qGQ5+Wu+5INNNukukaMZFYQqAEU/atixNNFb+xYImNlfliMWsacxGNcZlfL
QU84c6lJ7scRo508l8GdjirrIsnKiW7VxCJpj+VSq6bdVEbEktUYYmCCaGRc02AjkLNDpNwRNQDp
duxdMX5CP9zd1LXm9irLtW4ugwmt9zUq4WSVW3GV3CvJZOWUcqnjMOqxq3rR1wbLitWh/mDZMXZm
R5DIpOvgSydseuhO3baEgjCD+tWu9qx9NzP8wciC889nsj8teCD/SjUD/8e4MAxM3qBDx4hZ8FJM
5mXSms7Z6nNugCBAoE2y6KoE+jgdLUwsO7dy4+4Cm1Bbj7VVcFSKeDD7Y+5lY6H824f+7zSF1/eX
56b2DTjy3xcEnd/7tiCAdsNWxduNImg+OnGs+rYi0J+GuI6Cw7bt/wb6fGtC2394GgAWJEToovjb
vh2crD/AfXjov2brM6IZ658cnJx5BPTjEAa+i8EMxkUQAM93PqJ9f3DKy8xEaera17kxdWsC5cno
VJ1nh16ucOSj3tr36XQTjN0GKMxKJ/ZZtuF9MOdA4z8x/BLxc0VENNZK4qKNPr3P5/xobU6SHomU
tlv8UHAI6B8kWzUsKB2kwKpVk1c3J1JDm3hR5oxqbU6rNubcagqfAO5ZAt6IwLUgrK+KHqFoYkSP
Oep5ejTPEwr7rHRrn2zLT2OS3niR8am2taehG3XfbocjPBrhj1GKW7FK9lJiW7Jy0T2OqvsSQ9zZ
07cKVlpPcJ1aJvepzF7U0Zl2Zo5NgmgbnE7Tdqr0l67Jr72CdDzbufXqTUosUOUJehdJfy+j+NmN
lW2visemVsIrRy+XHn2evOiutQSGcTbS/46vZ08v8bEz7S56Fbg2OU+CwrL7a2+2r4pY35lizWu7
iEbsGfrtTAbFhdKmzxVxuQv+iZummWY5QrfMTLwDNCcZBCc6+ngzWAiradAdsLIGpACT3nqwc9Fv
RUsLK4jlqhfJpWzsA139aW3aESedLNtWInutUW8vW71hvFyrm9qeIp/94Ty63lZNKFjVoCs2UYEP
JcaqlRVcL8M+YYV0e5z6szqNRAqrCB/daSnQnQ924M0stQMK+VNWetc5LT87Ib8HctehDyMozs7S
sSbYgiaulky14BjNxtgQp4pv9x09zhReceY0DWkYLSu5Q8NsjD0sUDkcqtb5hPtpB1KuXcsGEwko
EtpL403v2I3vaChWK4Ncv6TyTZJECo1TdMQ3p5TGvQXSqcqzeoXWzT1UirbLXHEsk+EFUsxD1DSf
y8oFh9GPwXKybQroRDKdrzmqpEm768ZWLDsI+zJmNjEx2mGbyW+CxjT8tBu2BFeJdU0LgiQhu1+k
YmfocQJEDHMRWBBRliezjrDHqxtLy7DXcMIqO5xxY2bcJlPxQvzAvtX6o5joVWDCu4K3dlCJ3NRz
4OqZWu7czv2cNOHOi0KYgXq2sN3mrm/i21Iq9+jCd2ohriRwWGHbu5S0P+zHL0WT3ZP9y4c6Mcww
6r0hxVF2IFswl9yQNrMZgvhgShuuVr8tPbHTZgXeaDLgjK5CE29RPRr7EhR136hnNTKzNfEjnELa
p97hFNOYEwet9lTKLMdQ7FzVnn6x4nKfxt3WTEfJHeZyl3QQsdX6GJYOrqEORyH5iXgUbxvRPFIk
70mqOcrIXEbheCnUDMs8L32aRWvUbY9h6mysUGxzO3Z3EOQ2dtfPyXjt0Si82KcDhWok3FH/3ORK
hyufAU0k6x2Rjk9MjzLfVbNs6eny0kfWQZIGtgC3Hi2QuD0x7N06ZHaXI43zYaJd4xZHI7NfJtfb
9AraEY+DW9w9FwBdGkv9OjUh1RG6kQn3dkxbjGbPpBT5RSdJ1s/cPtPXrrBY+wbDuAJTSDCAne29
UB5ML90NrWxJpfT2URSdzC7bB+HYL3CRHPsApGHsFZ+7uIWvW2fXiuptKuFd10DSsX8PpNWoJI1b
2kOsycNAUoKRKuB7kttp/gqhbXwuyWoUTbgC9LLXQuVxULuTQSC2mkI/s515KtN/0hUaI3EZ4iKr
OJO3fBe1Zq0LGcabys1fSsM4jh4NsTaut6lINsxv+mVjaw9Yw66qhkCgCC1Wo9x0sCN83bxzQgn/
efqcZM7thPTjUFhVuVPD4FLmxVGZQUxBla3MyXrRSnvj6MHCNKAQMMMySWgc9G1Kk0vXw7eUMyPT
eKHuias+wAkhDlwrrbUaGxunop/MQ1FC0OC0b4fqtsnlU9PHtxXNv1GGd0HdbAuFZtfQuw9FH2+4
5zvSTh/bKup2g3lOGdUkaufriU0oWD5sLFOc+ja8i9WpWbp2t1VAVbeTu6sb+2bKtG0denw02kmp
6mIR4QyjTrxNkcesVOROS7eeJU4aEZ6GfWwy9vsVghs9W8m+ih+sPG5Z/Glq6wXjwNzNunVU2USq
4VKN3Y63k64ldmQmMdwScqAtR8iNExbeGZaDy7SnK1aTEkOV7ypSKjqgCp3MP3eQA027SNbsMJhV
4aYsS30W7ITIytptwOBgOWQQjETndVdJNlCmKuPXom4wHcO0TEcA4UZSawuUQu7KyrLHToQ6PTy7
xlEGRECLGkdZ5IkNozoPD+j9ylNRae1TojlgMaypVlDV9dZN0xPemrkT094+M0G8IgPUkM5N2ZKk
pwM+5yvQ82fdTdfmkKwcfXogefgSVvVeVjoebaPw9YzwzEKrnoLeSmaj06rWGujO6bCRJrgEo20/
dwmpcqn7bAbGsesx3QJDIIth3ZJbDvf+rlTVcek60SdW1gfVqLe4xE+qNbwFibEHj4jAKcKTFdMH
aBTjqZysvRPnRxJlDM7MOdxWzF4lTjXJFo36A6Pg+7DcWmapuLQNSUzo6XZlaB+sId5qNakXabnL
PTDYQk2XsQONy06MG6/Pb8lXJydkhKpfFHcFKHOalemeNtROVZWjRy+LUmijD9WuDbyNkka70Kn2
sFcfbdPYZ4V2VRvstIZLbEf5hVYZY9PwZgioFEaMg1MQrTiyMsVq3/LIOyhF4Tc8dAOxLNLLviBy
IOfDK3ZCjS+1nqxIePY55I0LIwckOai3Targ4ioUxSeDBuonI3wgL0EH/mUGb0mPtKpE2+ZSf0IL
jrZAG9YW+cEG2kNKC9Ldi6xidU+fMkMiLbTINUU76aVMamSYkQ6QPBDatzHc6ax2BNowX74be4SN
SfkomAzQS2NKrXTxa1CLzh+SXiLUM657S70OQoPQ39ZeoTtemYGzSbx458Wqtw5DwnzS6a0creu2
1LjjHrOzrfOwhKK36DXT8+YYpa2C0XZPQhNXhUmHEWEDYDb1JjOVQ9bC5VJCY900OMYDK4I/0+Ae
i0b72eqxZXusNJjshsMwuHhje/E4WNNNqdjPup4E6zKunlRO0yQeynXadBmOOO7aDbStNy89FQ7e
TnjRNqyzxEfWeSwRM6ShMp0Uvd6XWlgtddy1y6rO6R0NRC2OFcQO/m9MkVN01W0YD+WGPMQdXUR0
A60kgGXetS3zadB40RIEgst6wOhajea1lsbXUFR8MzGjnRNNzYGQ5BnaZTzqYRZe9XVw4zXZM4Z4
czu/7qTPoPkr2M0R4RvPbgRfpjRvmCzEB88olq5W7sJSvWMY+X/sncdy5MbabV/ljzuHIgEk3OBO
UJ5ksejdBEF2k/De4+nvSsqc7lZL5+ofa6aQ1F1kFSrzM3uvTcimJdQ4gNEma9Q8vahDsUO4wFbQ
yj8Qz2ac5QbjLfcu7cqzmJlfyoJgyIiXbY3uadbrG9aMCv/nXCZ6SFRzss0cOZP5nTzUmfcsJ/MG
g1p5bplJAazUBkXWyecl9w7kv2mrRMRMZQf+Yq3Wt6UeQ/gp5LBPMjauLTAGoMUyF+btpCcGbUTT
sL8hP0gaDOdNW9sYOtlzya8rw/9fgBlh1p6NHMjRueNhYIgfGigjFmIyjCI+JRXa+OLYLhPTlNtv
2sqrX+cz/1P0+RXxPV37f//P9zpruPCfL2LrILsxOdJKft+lpcHUmFrbxicxH7TiKEgT1eRdN979
/cvQiX7TDP72Mg5iQYmvTQHAv3+ZgNkLXYCgcDc+xvJeM/+LR/Mnfz+7QBhsoNh4u358r1pvtsvS
zrNTMfKg7d3g9R///IDtDd4h3iiFHvn+5w8dtbKx6vzk0ndYV9ZvmLe//Kx/sDD++jF88/788FmT
JKSz0OP9gRGr5asU1pGzlmzg3pGl/P2v8pOXIuOMNAdXWgwRvR8+isxlgzAuZXoSyR7DbCf8itWK
XHENw3n++9dSP/Z/ZoKfH/t3HwvThm9nAEKP88FBjHCqzBUTedJ2+Gpxps7D9u9f6Ge/1Lef/w+/
VOEkHj7TX1+IPRmRbah+uEfUVVz9l2dN/dA//lJIS8HjcjuC1Feuo282wib6q5KLtzi15jbIXodp
YwVf/v7X+dnj/M1L/Pi4La1FrYRU/FS4r0nwLLX/xeOsuKmIcXGUYQL5/ldI6szqpGYUp4QTkJVO
Nv8vDi925sJWdhDDJGTj+1cotIL63tbL0+K8js5lr3bA3X85u372ofMQIydWY3FdxRd8+0HAaq+K
2V3yEwgCYChqB2tdDw27qTX71b//RH7yWszJGaPqjov04MdzMgpIDfQSqzhFqqfekHYTEU9VM7bd
GTefL/Wva0mZfP565Hn5WvEU/7j/UH/mj3Gn8YuK5+MCwQ6L2Ixn6o9xp/ELblyDY00XypT9jebW
/QWROsRipqSMIT+dTr9PPAn2tUggJwZGWaGE8480t6basnxzMOBZUjNVTiGsUahPkMx//zw2dZtL
i0ybU1W14BgoMfwGARpF1XyvJ/UuUC6RUa/XQdW/iT6AbDeBJZ4ksbZBxu5au/eGei2s+WgtQBIs
kDFGABFJhPHJBvc/B+6VyEKyXJGYb+pR7NLJO46mdVHm5c4NvX2fGKhvgTO6pKQjRCW+FePHrW2V
/RbO27tmFwR/eyhKBxkeHZv0II1Ibd+trc1ssH4E5LfLzfggrNFZVYb74FTmFYX/ycKC5fdNMQDS
GDJI5PMumFDezZZ3jXTwNqQ8LCyW37MF2SnMSoGcXr6PZZiQ2NtXCK95ndkadovWhCuTKA5cPHua
FrElXp2RTzZGDENi0SFRq856EaYboxoR4xrsJdKoXsWZtfXq7C0kdqub+dGrod31dQMpoiREbULQ
t3UEOYpjugewuZnCzlshm1w3MtMPpEOemyKLz3RCNwJmveSUiWoVpEwUUxL1vNG+rfXYhl3bdCsm
x/wWXiNZTNmHYuzZ0CwexMPWyg6M5y5twL1mUXSrtgte2tC9SzSoJrFm7uUcvFOlFH4O7IPY23zd
MtLFcgyBUpNspqKgxROTiztmobBaJutADzetZVjd4LHaw5pyVpEFOihc2npVxm2AB3MQkAIJ16zI
Ro5pBzZIp+dNHbBZt8L0S6PToA21jidHW4wbr9ZdDAgpTF8g78SvRGut08V2GIWnlM1GDpQqKA52
r1l77ATjatTc9FC51npyJEYFMmJ9atNk15VWVu+bNiyDW5dcjjPdjr6GWllt3CD1zlh1QVrMmkNT
h3eMa9FIdMZealW34vzfoFm1NoNLwT8U5XnhNse2zT/KCYmeXEbMeMNT1TIeQpLy0BsomGMUWqsh
qJ6G1hUbp10u+mJCWizkqnETkhtcolPKcNeN1hFJBl8J7aEbdbGSZHcmBp2LHcoTscq7nv2UFSPO
gfpVkkTd7hLHuCC2GcW3170sVXAaRHqPPBgTKvTN0KjRqUDsXyV6HW+apGy3cVQQbZceo1BbTVkY
bYTnHYvM23dc0KvRQRoZxPekPdSrUAsjPzHEVzOuHobUXWuALP0GLt7r0Fgb5IbPg2SsMXbu0ZxY
5+uznV7bqXzpKjTCuvMVce45rffloqONQDOMHNs6TWVpHAvynzPBfKty7HNzalZk7wkUZ9HNEAol
6Z5fDOcu1TZyds+rON56A6FVQYRiuiAkLB4gpHZpdg2WTkO+0jxXWneTEKqK5mS5iiywZ7bZrc2R
xJc42WiavV8Uow5CNrCqBr4K4g0/i7yj43nAqtITZpdVL/nUDegzgzOFuzRfXjx76LZd3qxsTDcW
zq1MI1+8G+qLflwOXhW/oRwmR1DX4XWOHqbM5LbLrDevgTLUTy0T09p5CDWEwnoe8CUuI0x6UYeH
kbPQ95Zs2rWFMee/Ej3+vXENCvK/uXHfh9evP7tz+VN/3LkCCiOeXyGJl4KmQV30x52LBcYVAgiK
NFnwKuzK7ytG7xfLsJEoUDAR98Qf/8+WkaAqYX3ael2wj/9syWia3zcYn1cu7aTl0caw6eSn+P7K
Dfq4Mq0gnk9xcWXODldHwLR76rz7aTFGX8wESnpGceEu2Y07y7e5yrSVg8wOFnvG5RW3cFY776xN
vZMp6BYmzX7zovSY9d7DstT35lh8wDfa1ppd+THcEhLSK99tbeWnWXbCyC/AKQFyCgZC7hemS6KG
50X7xRIufbDx7m5NOlPyVWrWbwFBpYb1lGY85vPypgVkSHOM7se6v0/j7qrx5GXMnGcHX+A2Tycy
iKfwMhi6s3IcKn/W2nPdZUw5AZ3Pp5LfeVknyNtrtz/0brRlohBAeyu2RaQ99hUjOe50aByXtH3b
RZI0DCQ42GDLBPoz9muEb9vaBR1pohpHmvAVqeGpTXXbD+N6vl20HBtpAKK+aldLPXH/JSYibDKl
/LDQEmJ/red8Ia7VHgMHqbbIzpwy9tb1qLfoYwOSestk7Y5qt6jyZmcqk9FbfFNHUQbijZmg9dDU
bL5WIXo6BmM9l7bfWyWi0slmM3mvjyOjFZCSNXG8dSeiTZZ0Q8P2M0y4bqIwQzdRsvWrh/iC+fom
beedyKb9Mg72pod/5ydhuJuEHFbOgi4jAJImHRT60BPfq8Q6ZqL1fHg4L4ukWoPuw4Av6O+7oniJ
wccFFiBJfEKWbA9z3xPSTYiVnRR7UiK0TZRWFtrP4egJglZSlllYph9naZ/lFdvF3Jpfa92q72UO
9i2X3PCDP1bjAY/gbkqSAGVqgFI2DvbAZMj1rc3zuU9139Ogps3ajI8wdx+0AZygXWvb0TN2Ih7Q
+KIMdIPxsHhW6ouysjE4F5C18R2Bv97FqFR84eBUN4Kt2YPg0kBsNE3/sDCJzyzjozR5zzjgn4TL
6jtI7zGGPId5czVFKMKmzkU5ujy1DX4xgcSPBZqzIgVsU0zdWY6Lgg3H8jTAK2Sq/trN8Yb4t3OU
lGs9rp7tGJ9IYLIaSwXD7qzJ7rgu7iMaW7/qZcuPlp4DFN1UC7rmznmucYL7TW8fG/wKSyR3wiTI
CF7kTsxwLvv+xXLDGzI4to5enGBonaYKPU9tLwaSXvTGtV1cLOmAIyncpsXXFL1oz0Rv047BroxH
FRcm0bNY81VMWoEryAL2iIbmtdunhcjZFZ761zwgV8cSabcSLYFWWYhgZ5jv7IWiYSozB8e4cwe6
/Rwe3PPiRsfMm65NQ9tRmpGXVHtfg1zsc8/lMXJqQlJzHsBAIQSnTZAY71YiK75Q+h2P8RPekIhj
obzsYvu69cyvHp6HTaKNV2XAyidvdblCjUmCd1BYfmZjNnM79ilWOmVXc+rdpCnnCqNokn4HwkPz
WQeibntvU9C9pll9FegNEmrHCtbtKBAzz7VHWWOdV24rrxbT3ZGkEeGyH+rktir0L8GMrSRMl/ul
LC+w7L3pbAn6rJ/3yK+0TZcalxEMA7+tohbqIiscUNzvZeUsmx5YNVjwSpE5ay52gtR823PwdVtZ
swpkc7Hoznln6Gdxrx+iqLtp2DTBMTQP9oKTr9fOy5zfMsZkUnWRYPujSZKnw3US5T0bWPnrFOzf
K1+No/76yr/KXr+8Nz9ps/lT31356E1/Uw6pNvebK5+xIfe9zSj3s2H+5soHKgf6A9cgsxih4jb+
02Y7Oo02nGdoaQ5X0D8RFmGF/nObbSmSnCKDGIqO9f2dP8wjhTSCs1NHwsdKduljOcw3RH+RxuWF
p1yvky8kIxZErpl3SHS5PEyN5sUZP7RIbNE+SQS2eL5CsqdAqLMDdVh2Euz+1oR0XVOmnFB9cYNG
MOQiLoPdOARHciWJ3qmct96Mb+1heYxocNgrIgs2KrmayCXfp051ZqrmP3eU3tgrtktm3PJa67FD
89ggxkXSPBPk7qL+QO137FLvnpEzlW8afk1a9yhZpQg5naKw3ZcOhyMH0LWBenFLwieKfjlcTQZ7
diaTtu8YpMpAW1TnhE+5sjLrPjlQy+E7rfS9Dnx663UE81BbuJsev+zGTDFX4THwSzP39kEl7xoP
rvTsrXvT3PQI2n2w9DFBgvNh0YmB6YrIRfGwPFjeVyIJ1o0xqSbuzBm6p14s8apKwBxLk7iufqa+
sQdy3axpfh9EeRh0Z+uYGsBkET2EOhpuUowQMbDZYxtFkaGaNgcItHOp2s6wbB5KzXpDVXUO04G1
5bK2gRHXrX4gU/3aQALKVsi+cXmHgpicRq0klizLLhvp3dixeEunRfjgADkmhfKNOeN9bsjnhLm9
UTlEAw2F3Fa9DoNucs5B0t+RqFms7EU8xEOS+WNBNKAZ3ONdvET4ch42KciKLCOENHqZBu2uMlFG
RNNN59lbYWtPvZZ8wf5AlUVu2qqpAP0vandvtPWHM8+3osdhV0vvyMd0MSYOOzm8N/IDzcEmMFQg
IzrYysEDaEiyQhGn2YlLixo6uyVxLL8pyhezsJ9NKPkr0tZeZT/yfOlobvIQfs3QlRf6kH0NeCK9
xszXkix6PbPPenvel3b3ddAk5svIvLNoisM41jAs1Ve6GDtMDmRU0tJFfqPNyVqLIEPPpqskoulD
0vEmLRR5vsW17cvcuOnsauNVOQjdvPE2sE6rswBk6KXRlw9T+0zkvMl37jlnUlQqcE0UstImGhIP
whxdz2PjHQKS3cHGtNMO9gkYkn6UQHz0BOtMxPGvVR/MSjoPNUDdcTVFAT7uLk/r5X74rAmtYXKp
1sIglbdFYFJhsWd9iGVSbiQ1pfAsIoyoMqdCUm6qutNNEgB93g5bDiWp7rpriJ7ZGZtKZ5MDjUVI
YD6Xg4XtT9UiWcQjTdYmQU002jGz85UW5+vQ9aZbt6ICLtHVTNHyFf+OD9fcXRMzvxXU0n2aU1RP
iP8K240wOoZsIZ3LSUofWSBkVvcxpjKPXCvwwVNsETAeYmr3BlVBRi2fxf22UvXbQpVfVgjnNOp+
GRXEwNMJpNK+5d3VdzU9QptQp9EzePQOjSmLVRiMb60tH8rSfMqFg+WffiPJSD+t62VRKqcHK1I+
r4XOHTHH5agalkK1LmmUXQh6Gf6tgR8Gm2jdWYwIaHiMGmKamX7MdEJV4jxUdXzMGvnWtBBjRe6c
bHonuy+FL+vI9E3KfnbJDEtEoL+JKblx6b348GjCEkAtXerc58Mw8g0xscePbrRhlb221V1PiwcM
g+u/7PgyzXz1HAqDNjIOraoUYkoGvF6UzfqZoJQADXQBnx9mraoyMiIQlRPf8804h2rkAP6Rub5s
AgoULSJ1s/TqZNv1XoyfTVwWqp4ZVGVjUOIsYfCqzflFROmjqRpIn+YvZA4ntzOMpVUzolxrJfO8
GfG4E9ZfRjZ1CKiYHlK03MeufR5V1Zd4of+E6p3fMd7aa4VxD8A8XwUVn0bmBGTYprASApdjYzw4
eRWsA7sn4IvboeqweoxMfPKMZw3N0UjBJ0KyeBqhz9RJWVhsJJQD6NBd670YObEjx3/XDowumBGw
3frriuiuLzNSR97/XBOpP/d7TYQVFc006EqbdZkC1HxTEwlcqtQ+LCUk3DMVU/H7GMTFr0G0tgAe
DCJHDTv+qIn+TFL7B96LX/GS3+wkwcVKJjGmrbMYYRrz4ypMHywyKco8Py2EsaDH8+VQWv6EoWwp
knKLb1T6CREuUmW5WIS6iF7fxciFo147EG/IUWlcF0ghesJgxrZ6TXv5DN95lRIWMy36RejJ/RLR
b6cqTyZywueWgJlBJc3YRM5gSbFX8jOFRuXRLPqIqVNl1GRp1BLJTW5NSYBN/2uSDW5+lW3jlaTc
LIwk2ZK8kYK9xcB0FU3lqVK5OJWXPI06cRclkTl0/z2VU6rcZ4RG9HZJABIJO9YUcV5GpO7EA/k7
1uxedATymATzmPP0Psvl2ErvLSO4Z5wJeSU6e1cS6WNbbAhLQn4swn4ylfrjRda9SQbEUnYvY2Rv
yd3FPqujYRo990oSHZTlcE+IEkrGZFtpeoC3FLd84mSarzfao6eoIuVSsb9JLqIGscZSzecmLdIB
jDi3tUowIryHtIPEe5mc/Ao5NNJYt7ys6muoItucEKTZ0U8s7be9Od3MjAoYESBeJzbJ1FGkZtrT
IAMUXGJr932PIRiNo5nlb3iU7ysNS1eu0pj0KbmcVT5TTVCTmIJp3dIqPtTyYH+GOZHVWnJYk/AU
EvUUqMyn3CL9ae4HMhBAf6tcqFglRHV18dDzYwRcIqtUpUjJsdxZseC9cck2EDOUDz6HJKHGQzOU
rUuVRzXP5k3slufjGHyVNdngsU10VWnfaAbKfq2zLzyVbtWrnKtIJV7FTXSjMYS3QFVcoC9kf18n
d25QfHEFM6sgx5iffiUL8SH0mHhjXiBji19qX6m0LY85mh8wKVs5RHGZUt3MTrDKGCKhperXC7Fd
1pLuGAHtUwMnZNGTDmG0/btrWdVa2ozjBfFfJTFgnl5lF5HFu12rjLBPwFgxUQqZbcP+huWwvwCP
8222aEca9vuawDEWei7eUWLTCImHzzBRZUC/xwVNVJnA/nihE17Wu+1TTJiZJa0b1kvxylE5Z5pO
4lmuss+KAIGcN5OiAt/hpSIgzSUozbRGIJ/WcsnGkCpPwyZLqJpXuTc9IWujySpFD4KDk2rkr/HQ
s/pzt1hGsxU7ITSvYdqCwIcZm9RkuGnL/AqOBydmi5Iz4x31O66ZbtDWggg4fXZwWKpUOAau4LON
fDOnN9SAtBLSH8iQ09L5tRvIlJuGuzQD8jC5V6kKnSNgTq5GFURnkkg3u1oBZcLZqMs3+sy+jmtY
/DrzyN5CIF0Qkc3nOp+R0bJBvy7hh2D6NfCMGlPLTE47ItADCUx4xwY79Ct4l/1cddaKaerMxxUz
Dh1JPJsbqDZGPd4C7yvpFLBYBkYIhNe0+XmUpXXseQL59x+GsrvOVhb4uHvRh2faTd2L91aZY6Wd
x2clftkK32yrDLQGTlqKhZODsxZcvc3CBbNtgWBuaxMIRLJ9cxHgyKXU5NNWJt0a2YOfKuNuj4NX
KitvqUy9YYy9dxgw+mY4fgNpT/sSD3Btx+XO42iUuINrsyd2Fb/w0kWnVhVuuMPYpuIpHpOcFFhZ
XtW4jRPlOl44K3Eho/MzVuWijMml80rQBzat6MxQ1uUxFgxrRX+PFFtf4f6qGZviFW+U6ZngzufB
Xp6brr6JlC06hI4LWKSHTMnkSeKdrpSJusFN3ZsavCYTZOKorNYMCN+SJuOooPjBi81Btwtr3AYG
Lu0Zt3aKa7upXRBCaf8olaFbB+W5FsrkvSi7d/xp/I5UG6DM4JluooRObgvySpYKu3iQ6s9jOqmB
XbK1Pp3lymNuMuH0GuNhsK/H9mwJnsb4XEbmdYEbnTTgh0TL72Nc6rayq9v41g1lYK+UlV0k9rvO
QQ9xyrtCUc5XWxnfNWWBd5QZPlO2+FhiUPLAAVTZzeAZe0cZ6LGHbxYc9YTjnUfKYh+H/aPT4RkX
uO/r7hITnd9ZPcJpBwqc8ugTIBxjaWoQZjYxI8xlB4gruWDTpmN9bo6ecvuDQUq3zNwTf9FNk4ka
VAALPMAIJsBSLXJLC7H4ehl6aGB7k5XqVL67rN2OY9H5UkUoWM5jUubjruliRYGpl/lSj8gQj1o+
Z2debBa7Hap5Mjc4v86CbvFOuKfKk1i0ZY//Qx4GJ7rMmsh1X3s5z7tlAhMWVYxFuDwSdu3hNrf0
o1FZB06jMzvg0UEl5zfsmNdaI2m84B2j5qqJbmq1PVCMSynbcF9E4t2cxTsYoDeuHASm0UTXqK1z
11kbbPxNXFQktuvlmmHmlylmemqF0c4QmCy7gFytIrSfogn/yKwzxB1rOgW9LVHw08sMmvJk2CxJ
11n11okzXQY3aeDsNW00LuOG2OKK6L+YRPNVmol73n5ucT17B7BzNgDh2Fb1dN20ZFu4Lao002Ff
MgmsQJT06xjZt6/X41PR0QBO2a0l57WdWfe5V1/NdUKm15IeRknkUQyaie8Ji9ppi3r9zinlFw7X
KywdxSqLeARiu77RtWbLAafvRtlwZeswnSIGNM6i7wu7M2iN8pMD78sHxIDLwUvnTTPRf3LuZ3gq
Frpzu93kE0yFymZ0HpfG69ICDcnGcefECYczLjuK3KemqS4mJ3NoS7SNHpNQPbrPXC2s/Y0btizn
fHP3mP8Y8YzRfQWmaJXE2XHUuWpT/SIOiI7Pyker0p+gwyn8g/PYMu4pJ9xeY+xpYDppkT0rfMhn
wZJWyw5LfNbI5jiF4bYaDUC8sXsdWRV3tGbf99VwXCDliiJ+yyR7lBRLbWvOF3Tx/X5u5o51gn3M
ddZgds5BqEU7YcX2urYkxhDjYhTLed+Y5irEDsCUhsT7Mc+vzEAs67BzNV9DE74eIgixQ4+sZUQJ
hB2vmKEXOGh0l2bfMhBZNyJ5c0ZqGHfqr5wKiJBHNOgu9Nr2Iq8bUAbmeA7ezuVQCnZpFmg7Lx8T
as6g48tl4T6Qd3anndmxk+/sqDx4VFtMCyozsf1l8OzfGNn/DqhNtLN/3Y5d8Zy+tn9uxtSf+r0Z
w/aKzgJh4SdDEcv5N82Y/gt8UfQ3gngO2jRmw781Y8QJSv6Tzo6Y/kZnLPCfZox1NQRntshc6RAT
McX+g2YMj+2PA2oMtBCt+SlQnrm4X78fUMsoLCCGzvrJgvOQ7uHwGixo6/RIB7aSS3vN0f4YQJgw
6i7bjaH3qMV0SXkEcwJpixdkrJqZ+BCFE23Msrm2eVTx0Z/3RKja+XQwJ4hh/d5KtOcyDJnBMVQK
T3rihUfUQu7KthjnOjotSNriFrTn5SvrV07hnl0hmWvPwE4heplat5Vj97yU+Z7CLVyb1nDF4s7c
UMjE/HdxvgxUTAZ2LYmmm7lK9lBo/Uw+oHiPq/ZjXIyvroZNpuzTaMVk+DZ3JyZKE8mis/bYLNL2
p6VmRW27sPC8y8Ke53NNpje2GmtMBfjoKWA+xzKCf2g/rKCX/I/tl2bQ1wQoGVBgYghlgTTWedTU
mAXMLyJ9Yo0XtTbsaaDg1tgwMyUfJXC6Zs1Ea5YrKyVfCveniaylgplKiWF23qsey2DYxBOgcGLb
I3AdRboH8KSKI6338Y1WG0EV7qNXV+YCN9uyfkwxWw4N6fExLeEcjt01ja7OL5Y110NpJjuOudpn
zMNbBUTbbxsp/KhOuKMLKpe8tp/KpTGY9AJ+lo3kkClbElrVxHPy6DkCL7Awko3zNc8mjXqfiHUy
DquotMszD5eGz7gzPgbgB9aj17dnUTg4u6kJWb6ChW3XNWBbIDJmsNPT/sPwSndXR3W/qoEQ7nVb
exs6Pj6SOdXNju5BrxEGxpiR91LY757GrKCvx3GDdZLb3ZOHTPTtqrSS7Mo10eHpbQFvVmPJ69FT
7GRmEko1tNbOjer3fNK9HbUU+NtGy66cpQzPeOeY5gVj8eqWGCGNORb7QJBW0QoIKoUxpEgAurSB
juCw6gSx+1bNxOmUhAD7rYUSiMO9OR+dcjwPx77ZeRFGbeLgzF0FCWrDhyf9oLU+AOpIX87RB7AZ
c6fIWtw2S45V2au4OF1XvokcLQGbELRXOVU/FSyNcSWHDbNrnSstgL6YFJCb+M6FZw0aLviIzD02
EalpYjOZ7oSgCjnTBxOAee/qunFdMn9fQ8lpz7tgEdheGfA2YrrLICriPAZhWND549KuH4iJDldi
CQjP9MYSRRzX8tA+a2H9mJUF02rXGzdRzoZ4yKF9J8KBGjMnD3pRXiV1G7/MHlY+IwojDIgu1KMK
m87SX+P3oOGzQQwTQVofvN5+j7LhpRfBdgxdgq097WNMOnWLx88E4J7h7n6a7NHZwZsBRZo36hDx
jrwVhz71Pkq+p1qvBKO5eydc66rWwT7oluMXDSxYIb8w5XocMg2kRTNddUvjHtym2ZdLe9su3n0N
12MjOsbLdd/ApId9ijhu3pkG8o2kYPbskvU1hu2qcaObUDSW74RMHvrMrM8tsbwy6qBMK4x9XEZn
qROcXHM8apNZr2eWhHxTYPYAV2fCHGfk1eHMfUtcNBp22iX70BwoqSSwyYn5+JnNQM6Xdtn60srf
oMNyZom+wJdUX5WjdouyRCF/0vgsxHrJbj+Ecg+Ugx+JAfzMhGLLrN9mqDCG1zmuEPQW2FHhxZr+
IgK2YOpFu8qKNlBYvZ0Al3aThU21dg3sq5ww/a5NbPZT1uTtKqnTRiTs0cC7ZZwwzgxEkkFL0MYm
tr5cbryFOsJurI92Dpd1KpcDPtUT2onz3EwuiEjJN+YojJ0JunJjiirYpoSrbiPHEkBBA9IOQcXv
DXuy1gmClDjKFkx0sbEzTJVfnvDTRjnfWmNE15cVVNjg6lQeMqeUILJ8Nxb8plYzWPtoQJXcJ7q9
0xL0MEnOjrEOiTcvcsSmHFO9/+/k+XPybP7t5BnW9P/47wpV85Ny55vZM+UO8jaKFlTv/LVqtvvN
Pt6WLNYdh4LoM3Tj93LHhPJB3jIg6t9Lmj9Gz7YaZSv8uo2HBb7iPwMkOn+S4HmGpQu4PwareIqo
HyR4bT9bFnpXjZCAPGHmdhjiYPSLzMaQp6gFqTPvNcUxQMlxraDVsPaYlI7ADkZFPUDNRXIH04ZK
ERGYI9PlKUpCrXgJMeAEeEAPJSCFStRHWuHDoggLlWItyBI+VWXeo9Pe5YrGEHakNCg+gwWowQbY
gPuoXQWmuPYUy2F0cfI2SfMoJudjYgyzTcbqNjeSe0dXu7t0gbCuIWeh1XuSfdWvYx3ub8oAKAkr
nOylti2Yqfq0dLsx1TAmBuzk2z4/IxR4JCUiKLH+4zDW1sEkX6ps0OZrbnJ32BLxOYKfLVVKAakl
okJvp+IMPIiKZUnAQaUjmB1U6IEhiD+oZ3MzqECEVCUjqIgEr4BgqEITepF87UhR4EL14H64lm92
l9lwb7Slw/KT2AWKBBZUJDE4KpJBJ5shUSENEwOUDW7cYdWWw7kdtO1ZLYo3QCBJsy6yqBQbltgw
ge1cGtf1J8CbE2Y9wvUWEco6h9qPgHexRk33VMjygQuVcf0ylRe0ePNKc7xN4SClDCu2CuVlq7e7
HC5FBll8soIn6nb6x9SciRtMtn0hxUFnbYrrvZ2xYDN9CGzsnkLxV/l5Ht2wi88G9vywcSFmu3oA
gXk08xN2nDtUBIggK9ozD/u7/DTCd8oTTzAITuXm0yqvj+5xMeZrSLPI5OyWWlRt55tK3IYIKwLl
uV/IMK4x4WtgAmpM+VbiHODQ7NKh3zPla9cD9v3OzU+TB6xmMujUMfjLnE9+hG6SWD1wl+TRggTg
lNFuHN0HSI6sFGAFwAq+q2AHNDAEGlgCcYcsQ8EFgCpVK1sBBxbIAxOD/C17TWM7OfMF4ytxzkee
+H2fvCdcnYNCGGhzaG1MhTWw4Rtgd9iZ8A6MhgJSARC6PjuyyrzJFRphVpAEU5O3cT++FRrzg/au
6XV9hUjtOoSuUHFNFdVyBtvmQXjJSNAoJBh4DAARKVUo+eM2fckVskFzuA0VxMGE5hAprIOuAA81
pAcv0MuNyMFo2QvS1+EUseU2YEOUrbYuYUUYrvVmVgIWjqJIhNFphCpRN6MasT9kCjchjHlbKwBF
DGsigEiR5MVlrxAVBNK9DQpagTD9wlMYC5wn51nG/wbfYlSgi7HJDy7ki0HlrioUxjSZJhJUiyDS
T1IGXt6ZuYHiZ0RCsTRAaD4n0DUKi4l7o3gbWrsHJvLcwuEYvWGDKWOXmO5LB6cj70F3lpA70Kuu
OkgeTVg9zQrtYeRwfxgCXbhQP1y9hnuMURxhvvkUQwYZ24Y0Y1AhpSuvTdghOIeuDQUTmZfhaCm8
yARnJCgoorym2kcQSGI3fUyM9CIU7b1D9DFEbnHTwSwxquwYUQmkon9Mc3nbKLhJDuVE5nzVRHOE
XXqaFAYlnFEZJZBRMqM+ryGl8JCclQqdEsFQaQMMIAqq0sNezY2avHgM2gPclRL+iubp5xqVBbMh
7SAhtAhILV1TH3LILSOByN6SXkxEA3TZct0NaQesoD6aMF+mikfWzVlxtdl9ABUmZUUna+vQQYtp
ZXVGH3PQzehhgCZjQZWBcZdRugbsJbGTw51J4c/oCkSzQKQJDLiNEGoKhappYdZEZXoew7CZYNkg
yQKdCgFNL2uxSlhSSBILCvg3QJjOY3g4/9Ymn7WJxHP612OY2/idjPI/1yXqT307hsFRR0Icd7/1
Y11CxgW7PBPdH5kW39jxvF8c7mfQZBY1CDhC/sLfdYLeL/wlhospWdnolInvH4xhIEH/ZAzjYA/F
G4r0kGiZ78cwixnlkVHG4sSGnhFCvgCp0F/K8Cu64QXTAGPV4gJECqN/VNUXo9ITN4jR2CCc+rra
2giOM4THiND/H3vntR03kjXdV/leAL1gEu62CuUdvbvBohy8R8I9/b9BjaYptka9ev23fTmjlkgW
q5B54kTsWDJXEj1Jwqec0ucKi7KRO6dy9iw39rM22+FTzMwTpubWtCFFzD5nPWAnO+R35PG4Vrhq
uqygm3gwEp7Zx3h05xxMZgCsXK/TrPVjp9aFUi2pq9yHJlT12XGdsPVqZJUtYszYWmBv+9mdLegv
HLBr86i8n7Bvu9i4sS5Ai8bYrfQ5T1j5kHDuLwTW79pV1hNWcKRlmzm/3LBal9wRSGVF6MyGP5e4
YyVvsZQz5OP2Y8a3MZvXDUbzEft51esDpt7R3rFeJjvhi0OspgVtu8qWXbFYaLgnt1IZN4UYdvqb
xd266Ut5Q56qvk8xwaezG96qnH2APV7NzAMdNtmyVIcTjBNz0Qe2sjIx1bOJjJcDNnsWCTvLZSKu
MOCP2peGUS/Alj9SHrIYZ6f+5PQvyezdTymRAPjw1Zhd/S72fgrTGCVZ9y4V4a/bOQOAa9RaqcO4
jYkHOE6/KokLyIbXLJgTBP33NAEsLqIF1ABp4cq342LTmpE5HNoiGheTKNV2VzgA7FrbBaOht2jv
VaHW9kp/E5aaN5Ep7aqe8gxTbz3rTYYa3iSpjOAVYGQBHB+6/rIUWAJlhQMVRSufpS0qTXTPQAJn
y4Hwxbjn9Shh1iyJuUn1jS2XtRhRy8ZZNrNnAS0wkxt7thnYhn1WQt1ZtnDiUCRxTSjhU4oOlzsI
ct3Q3ZazREeqIPJ4NH+JUe90HBJTy+KhQ9cLyNcucLOc1FnySxr9UM8iIGY8Y0WqFdPpLBC6yVaE
9bOTmO2a20VK9N15HlvaAEphxfNw+KVxyE8ApBl457QuoFwESXWWJtMAIPJz2nk5miVoji8CGdNE
ztTpAjGT6QA7eBMX5TV1aSG5iuG+FCx5LSTRFGmULDtEENV69Ln7b0z+H0frH4Opuo6QVUehNMe+
ec5Nk+TbqFC9bttT5PFPDXPYAHR2qIC+TheKEjbLtB44Buf+Jwrub+RYBLskZEFp5eepLvcgy7+B
U+UMF10ND3xM6s//nivfZ97fnytvM2+dv9Zfol81AxjvzhdN/MHpgiA/t3q/zan/nXvn0gAUfnwu
NvEvEmb/lfkNkz9huHUJY+OHsuck+I/zxfjDYWXu2Ey+DNMgLv/J+QIn4cP5AjGF+dmyTaZe6Jvq
/OfvOBDuYCqly7XmrOBc8MyZw+pMI4GGmc3avWFa26qt4YiNvBep2plRrn5fNfE9YEmyU9MMe81r
uK95VQZsvC0bHixgMdCwkjAWnNhgqCaosUPakW1dVN+Jssbb4y15Q80iVNdwZ9s3CK3TtqDnTWKb
i1yxeQhMwRTfZQWzoSC4odM/pI63oUZFNvWLcbguyxTofZs2W6r+OMNMaT/kWocUzhDQPZQkWQhg
muU0LkU+aSn1G1UO8qZ0roykKzElV/GzYpbmFtAEhQAYkf2LrWqBs8B3G53ILzsSGP+UBUsnsvyl
W+gw4NVsiaoloc3Y2dm28u4moz1hVcsE9nhk5x1HiW/SEFI5LzqS30SMzS1Y8REQGha2E5k2Id3U
vsHOC496arNom9b29DnTFajWgRibfDmqDFf6WrpmDOlcGBJootMZ7cas+YU0XgRf/BkAnaYhZbMV
EPgfwnzFIgFfPkRdqntmh4kxTe7WDVB9V2NZBxubbqvrpu7iF+z9zbVrNzbYe9xAi7QR4V3Wl2fX
aEpCPAqv5lWuBJ26Cpr5sAv8gkatUNck2makx89J2ugUFBGxYeSWhLv7XI3SrWrkrY3VqPTjXYUq
MOwzOxL9V6t3gq8uPNgNUEEfaGBYQMlyQV81SoPAqcCMSZyoeQoNrawvlaK4jD7tv2rddyKvgT3z
Nzdinlxe9DX4lVjHX/xxKdasP6iFQx7/DpSYk68/xDoeWqwYZ2gMDo7vUdofRlHjD2yqs4z3p473
46Gl/4HyZ0D4VYXt/FO1Duzuh4eWzT+mg60xSO1SXKfOf/7uoYVbIGxCsH0nPANI9WZSgdFeSstM
9lnEm5dYazfZ7LlAc+ogHfNxupWkPgJs6EeD6pHXJMyXRkvgXaU5y0417YqsJ36UuCOJtmi63L1k
RTvtA0Om0Q74o35H/4ti7rRGrZWF6yrtJfMNf5+Mltqu9CSJtdvIJp534HGVNp9dvB/9qTZwgV7P
R31n5elXQmpsGfNIIn8JwjMbdeZPu9WMom6rsd2JVEfhmiZM3CtfHSVhThsrpF2F6kGXrn+oqyqm
ZAHi7yoc3GpZV3W7kuoYHcx2FEffx320iF3ffZUNLRMLUfmY4m2B0pHkobwKdfMV6s8LEL7PsYUq
wYWEC6xlfi3b7Cs3VY0YTVaJL/Bplw7uCL0K+l0+qea6TRT50pMFXnS6GtGwlEgNMkTPrgWd41FT
IuC+Se9jhIEP2Ri5vgsVPzwqiU6mSKsJx1RyACteVhvuYsWy7vhYZ0nOKslhzcW2gagLGSV+uaVn
tc6y6RufMprs4Ei3WJp+bZ+QaaddIljTRTpYN+GGmEcYLOqA25sxOvGyaGQOGjPxSsf96ohQ2Tjd
tE01RAbo4RvcXZBFG1ruAh8rWyOGJxHSmpn0U4ePytwUmguarx2WbVj358SgVk4NWXe5qTl4lDaZ
hBtL/QLYI7lVetO4yS0r/xqrot5nVZQ/0sBB4iKqvuRjFx/+vW99v2+ht//+qbUvXisZ5X8d5uc0
/Y/nFksGHgca8rpOW+SbO+LHcwuUuOlYuA1tjpbZ4v7nZcv5w+CbYM5XNfU/EsCP5xY1TI72n3+M
ef8fWiq40P2M1nFUlmwzylwYM3HgwyxvO9QvDmKsL6MCqp9gCrU/ZOZyJwZhEuaXSFgnEs/h2TLr
Dee3ec2dnTE/UG8MX9wktfxaqDyehiGEFdwdQltbdyS5cK4ulQ66aK4dnVzzJp0MRycGQAHGUU0x
CBoyO9PIsPYD+9iEyroYlWsrDu/tMX80eYc7fsVnxcEqzp1nzHcJFsaQSlj2a8bOdMKHeuyZQtXr
MUnPEqY10OAzfir0fGtANpu4j2iYq4J7E/yqwk+0Suv+kxu1J58NclsbL0bAQ7Bt97lvrVvDPXSi
OvtheHaxnbmYboOwPEsojkZRndCJHxFFtiFMXpcKSSXBtK7F50LRVjikaBGcvFDtnt2ouQpDeQr6
cdlhFxDAMaESn2udRaj7rQGzPJtBJZxjuZ9c59Xv4cla4jGOu53SuF5nNvSLTOwIYy8rp4VV1rdj
MzJ8DdElMG2ykOCuY+vebLLtNDY3mdN+yvXhrDj5mXqEY2fNpmy5z+pxKys4OEH5jY46+oZAH/vu
zgjEjR1iR8Zgsm3tnJVv2p8SCTNWG1E3/eTVKARGaGsZRj5GUmlfpNIeA33ubex29QSx1FZuYnfY
aar/IOZybNdYWXmkLSpArf6MBA59tVrOQmbkpD0xKYyB6UhHXxFZr3bHXgmr4MYpTQikQ4myzdM2
64dP+EFdKk1rDsFVM7o9Z07j1PGWCopw1xbwWS5immjBjmHoGpuuzoGykFzwugE+LqS/TVFJZlGn
vEmKttznFt7spiIup2GIPUED7bxupP8wHRBlOBF10vRTfKNrOrUVarNA3t/GOZAFaE7Oih9pWuY6
/jYtlxjxS7qoWkeNKUXqBQWOtIE31ngbibGiEJWJ2DdoEJpki4m3rHCmBM091CM6vi02PHGqX2O7
hqIWf+tNH5Cnot8puv+5wNYLReMy6eZa1AnVmEnP459dSOp/hVhzYs/8qLAMiE+1bLsV/y0eFISH
hWEFqygrrvWCgihJKWLZNS0kBujOiNAQk0vxKQBdv1ApCFuUDWkPcht4OXGK20gFrgL/tBPEqboO
VkyiO1+D0n3JR/3eNK2vfP84Rgq1oe/cSD2jRJxn3V16Zh7jmkwQ+zrysHRgeoYTXbow2wOgeRDD
+E3a6j52nT01RlQ0KRgwg/AB4/vKzdLqzJlXrbOOQ1OXinUqUh+8ZBhAhkqalR52hicFjvdey596
qjq8psq+KMWc3xz6GXMc5Os4GXa+km5iFfXfnTrsVhCHQMReItX+xLL904DIsKgHekNZbW4NC63d
DlPcu1yX9Arad8kyvzL0jV/oTy0w5wWPKZzu4KYC2SykFT2NAVgOVxGfI7/KPAuvlyvbT4qsvUan
5mPwVa/K/UcjwJs+Ap2adAkyCZwwrnOdDDXGVHSPu5DdmqfG40iHE7/3wfefDKxALFl9m/eXsYZR
RpaPsNBqipIREhMfy5qSbL4941umwrTo/GDmd9Q42KJ+0WfVDm63xffW7eEOXIYMF8c4ScwgBi2j
KkSB7iFX1X3bO3DoFdclBIq9WqrDMQnV2z5oD2Ye3hFMoHkphiNfx93CEb3hWYNyjKA8UdSS3Neh
wPXANtBL7ZK6qjBM8nXdN0G4VIo5ugA5hNKwLtyJFttE2olFrjrKhpoBPF05lt+8yYr1IHVYMCP3
Toq3bW1Ir6Oii5b/3kW+30VwYv7+LnKUUfN/l09RU/5qjuKv/7iPELjD7wAoyNVVx4U58OccxX3E
oAKJm4er0pj9s/iD8EOElz+g//qn5YL4g24T/ho3lf9MX/9gufBximKK0+iFdIXOv8fW8IP0U+uG
2SA+BRfgxwuk0kiE36fs/wmEJeP/05VnZqc6BokX0+LqYzv8UD9PaplWqNQcj8OZdoIdA4i7HoBD
12s7G06DgZGLVPPYbHj/stdQSswDWuuYtzpZYwIbxNNPdm27DXKLX51krThsFqRhVSfLUtRhJTBu
BJ5aatgdGtq4i7JXy20SZtkKujGpFpSnTQ2xfdVrlrbh88VJV/TxxrBYTeaddRVTbLQp4dh5sgjq
TQTwDEpzXcTKJs8gzN7m9RR+yxCS1sZ3PrKD+29FS9DMTXZT/tdKK4nprsI3uDJxcrbAnLfVdYvd
qY6qaT0pGm3AQ/hklNohHEKSLilPoISiA6OrNtg7jr20tIXdKmcZdg9mYtxVbnNbQ72n9PDBwgtO
IKpisRGJY1WLVSCqI+0CO9oVkx2AlAiNzTqQDqBTMnOIOBXwddDiVM6MqRj3rIifyzimeSG1KS0p
qktNAeaWc/4oB/VTaCUj6V8YBcLHhO6kGi68IvVG112NmBwWEA2BqgiSKe0wmBuMwdOhGstDh8V8
yJJtS2flJkvN2ouMCeJfCdcxOmWMRyvfoK2Ey91mmuqdX0c3ISWWmzg3SRQpCRccInQBZIS8GepV
HWa3Rd0eQgO7ljKq1uexw8I/1kG/VHVrPZS8VQctWgmkQC4euUf4fTeU1akX9ONo6OCLhMmRwjCi
GUFszrkHUoKDoJYiB81CZhoPri8Y6sb2VJHCWOK72UHQZ+uTql+FJb9oNApQHWdl5B4z7DFhYkbX
Ze5kbMdFZELXZ3Fra8reZejfNI76OVEoWbeUc6vZ9y0TJ0q/tXDg4PgJvcGGdoR+dN3loGZivMA1
nd6EVDMLwiM9GBunb3WvMnjhiSpsG7V71GZUT2kGM9bgBYH1VKh0FET1sDdT9WriH+009voAeiah
YdxVXvUGLKYy7AoxHQ1f2br2w+C/FM60B8bvrM04WNW2ScxPw6YyfOq4zciWqmsBqdzUx6vAj7Wl
oSeYBRP3OQ30Z4OFKCVj2tEVbDZ6canC7ZgJoo4T/kRzqtZ2qNw5Q3Mvkg5KJdUZZkh6qMMKhBkZ
Ja+jrKVIdsxkKeEC7aFUwjvHye6VsgDJ0K/nu7JuD/vKVfbDoOKDjq098sYmtVKOVrvxiIfhSpGi
vRF9vOfnO5ix+sJpjwvcSLHMFNhydKOMz1Aqk+2gZPpz0Tv2U+MUYAOHcfTvs9ZPbgaffeYwpBrO
Zb8GVNWGXqXMJRcplsCwpYGl0hVWVXwsjl1pRmcpJrxWad35zVKWtER7wPtt9njufCWsfOfTxGrV
CwltKdxOVl1jMc6UUMnSssOD7Ta8mQ3IFrSpHsgRggXRzZtWVWsMKH3lBV3pLDQtPlB/cJuVCclG
qp654DWQn1zxZFk03lidV0lSSvbQ5HuHyebklziYhomTPrGKTyJgd2eBpeAjh19KmHdqUCa8jmOy
CcbgGEMPoIvRvwY5/0kO7jJm8ebE4OR8Rb2FFfVsGOUL1bHo5/G2i9tvdt1fUnOK14EfcuHt02c9
lgR+7RdGxgXZT5axGnqL38cQr5ocMyhWn8Y3vXEkRkxUMq70L5nVDswcuDjz7rnD0G2KlkKgiDV0
C7ik5tec9FBh7Uctbx5MyRBKWzkwk/h2SMdj7vbbtsLBpfTxYxCOu6jnIzoMp87PNkFGgE9NrZu2
nS5mYz0PoXkuYrF0RPfYk6/RevD6Nm1dnWC6GVTo4AJDl5W8TFUEMSW2NiI2Ma2njKqtE9GpOqCm
UQq5jE3rVpv4rTUpjrMgt+/Ase1bg/bMJlKfOQmY2IqE909+xYWw3RZx8GiOtIxjYNmambHicYP/
eKByh5+eGu4jXU/bOgn2REaf3bKjHK9Ylk5yMUzQZBkCVOMDQtGTV8VRPKLYW0kJ0aKS/qvaJnte
ay+aBqhcursXcrxuSpVvUzT7WFW2tWm9+JhOOiZ80Xa3PtVR2BymdYMhf5FF4RUMnm++CodhxHmi
ihjXyRSdXDPdVH51l+UtLt282HZBV20dNxuPGqWcsa5T/xO9WD6x35rBgE1uu84zVVsUQvRXuDXD
BWXoxipx6qecLtK1ojoXFWM42n9VzRxQgJkE39Ysez+T9868Cg7EU19avF/YwKxGvL8LQ0Tpl4Hc
n6cbWUjJ56if+rDxv5tf/uclBB37neoyX0GojARlzC0EhzV4p5+vIFpialmW+8o5jumReUjcT8Lc
vLsC4hsagyJ/3z/wd1/igx498i62EsmXUMmCWkzw5WWIr37/NUBP/eLHsGZMpGZgpP3wY+gQl6CN
RsFF7Tnl7cvU0rtxR9b/918GHewvX8bk0ipIFtMW/rGDICji0bCTLrhIfGgVc2dD94xS3Utx1dM9
ZjUMPuZ3Fv2/KTGDV/f3o8TpFbbcL0RN/uKPIUIHGO5oyIYoho4KH+XdEMFeRSepYdousMCfNsj2
H2yJdRvJ01JxMb1vTLX/AC8ODJX30T/vlv/LEGEz3ODRNnWb1Y/+cX/cyB5fjzX2F7W4qgOxGoFD
vXtRfvHh+vCOhArCEIJmClAA77gpPowQZD0SQ9pSXhoR82B/UNSLS52S2Go+b0ncuavffz39w3rJ
+ctXnL+jd+slHWdrxFNK0lkiFe5xM8xzbApcNkVQNNd9XTj7rjVL8NlQkBprbcWEryp/8E0wTy1n
YJBbL4Pu6jvLwKk4VpT8EfyFLeSEgCHInzmwBspa/dIpyTd3UJ4oWbsqNF0sSN8CoggIc+YjARxD
D/H58gSFkxUFdMVZG5Al0drEMbYOGJI2/jjkywji0cKuuZixqqGsR4/YTVB+LaMbB6EYrkuxsKPu
qFQ+vyVgHJkPIKsCb0nae0EZ37UPuZxbgbEtCu2qA4OEcWGXqziwkzg4FKDIyNDf1ySDqI5+6SZj
tm5tO3tqVhodzlFLoKp09iFGo0VoFT0dUXUDLH48FdKebu2WFT9bfXbatwUhm61VEdulGWxbYWlp
r6cSwsZSZjXglDQQx5Zx8oxDiJ18wyHFzFfhr3SOFks12uKOGKZ3Q8KCzfUpgEvOBMUftRS0+bwv
phDKWNd69FmY6peUXNiqN8VpKMUeVpnXJeWx9fsVeLYdUfcrFeJc7nPODuOxH4ejdOrCa6dMJa7b
H5pOfazg1AuBKT7Lp3szJVgC8iE5RzK/ypMWRjd7oinZqwXOtKEkmJy0pO+qwQHb3SVgpehaaGL7
njUiVh1FDdZ6VoK6lX1L7EUnShlV4zGlh3yN7whEC0phfxGhc9NIUJkaq0665Oq1Ru2Wn0ZXMldu
+w4IF27XBVyOlRO5+FjbL3bICk2z4mudajBXZhL8l0aln+XRaXXdyoLHOeYyqxebvu7WKnuvliM5
01SvKIrbKRdXmY+tqx/wVbdp0t0MY3hD0/GuBg3mlM6TSPLlYJs1NWIKYYio/paTHYCsSaYHD/oE
Oo9yG0ak7qvaB4ecwr1KaFAEbJeSRgpNDSNi0O+hfQRXYdSdhBlD2c42g2pCMMiXcvAPTVNwt8E2
O7Vzf96ZE97T8fPyoLgecdMTF0A8NjDFVa7xIOoGgCF9M1VC0ABKzbhNevj2dZrDTQkka0FlnzTT
HX6GkNqLFkG2uI070okxJ5r0WahKR391ZfxKdvpUVGkMsYYmAPzPI/m8PmP32Dnbt8fMv4fevNb6
7aHXvv7f4rX+9PpLay5/+cfBh3rGkSJY9hN5/u6P+u82D1wVhw3FUgR2BC6iP7d55h/cUQnwONbc
iYHf4L11CvuoRbwS3wBeJ+S4/x/1jKA1jlyS2DgRXCpifj4kjFBT+paB+BxmL1NzHobndy/LL449
cKM/XcU48Ihz43MwDTChLg/0D/qc9BtBad8gz3QXrljafBtLcU79+Mas228wdD1CQHT7CbKFmpLv
QI1u6ypeSZumLbgFxQam9ya3obg16l0sw7Voyi8KHaoL3T0ibg+0PjB3TmF60TrNTKjEaCvjEmQo
ZDBDMGbyIi7NsMpGQC3j1GBGNXfDfEPvTRXT/HxpH+f7u5hv8pU+I2nm270gcwwQkBt/PN/93UR8
lvM0gDwSoNeH1UGbZ4VAcy52iWM2ZYzAAGassK+x6JhnjHgAwmfMc4c2TyBUJR86RhI2ncgVuufO
s0o/Ty0p4wsFFpNXM9D4DDYGA44T4q+fGHmUefbRGIKIP0FaZSpqqDhcY77wgrK9teNsoTBAGZWL
B1fZ5qXct/OEZTJqDYmzB3kMLYYqV2K++8q2X32tgwBoE9V0FViJ0Ws7z29QGohoOts0iC8KAx6J
J3jH+nPD4OcyAEL+P4p5Iqz17pQa4EAZFeuy2lrz7FgI9yGep8kpSa/qeb5sGDRbBk62WnOOM94L
Rdy180yqz9OpMZGImefVcJ5cJSPsOM+y5jzV+oy36jznFgy8ksG3ZwDmd4FhIkfDZJezHxiSXYZl
URhLql7PFkM0h+wFcfEmnKdryZhti+4UMnYXxM6DIX6k0pPzj8E87Yi96OkttUh0FMfpo84IrzHK
Y/FdF4z2DlwfZahfrHnmr1tqG43mueCHJ/AwQGuevgCOBxFG1B7ZwEiGY9nHDpbugH55XMHM5LPK
YCMLIjvwKVjHUfwc+PgBh6aN1wpXQbusvo1IFg5YFYGEIWv1WUHSaOwRARCRo0PsUM300zSLH7MK
EiKHJHGdbLRZIRGKfRcimbDWQzuJwEGrGQlbDUuhMisszmSbJ7StfB9FFpSYkl5ptIEYYUbOCg0F
hTM2Y/70xP2tioyjSPQcfVZ2zGpAYdLMm2FWfeSs/1BwMYPgjQbdGHUIRqq/6hGMghblKEJCUmct
yZ1VJTi23Sp8k5q6N9kpe5OgslFhO0woJjoPs0ZVcc3w2CdyuiVlsKy/a1lF6IkQ7m8qFXXVTmBW
8ln9KhxLx2kj1QNGn4UTjuBpqBVt2d6VokRcl+yQNYPUtKZXzRbxNF4FkTxaWsAhnJT5RptMinIm
FzKozpEp0nJVtFUBFiBKLzZR8YSgUHM9dfzEvl9+NqfxofaNVzuptjzfsPRo2dLVmFbHVDn6LH/n
FbGJiGVitEkLVF+TEhdkVT99lEl+03ewmsBTXETkIM2RSYqFZ9ia9IoyP9gVZnUyo/z3/XUujWBZ
smLnGbUPKn9LFHsFJWpZMiJDRNiEZniiLPkxYTttSHXfw6bY5EPyImKSlE3ULolUWgetVVkpi8j+
VPasEwERNxH+qT67I4PQrzsCbga1AEtjqpwlfd6IZlFUnyYnORs6Swe3udYqgpopJZsD3LQ5Qunx
yCNJ4EuKH616l47dPVuOu0zPuOsSGveaWoarsW8zl2eO3PeqVbzkoiXlGCnfaP2hf0jWSNCQW7wa
cM6lMFJmgzGxO/S6sNvkOAI2PPrDR7/iK+gyvcupPsLXr7p7OdYk5uPgnLsmYXnbcAjJ47QUhX1n
VgXTPV2YE/ITicJR+P4aJ92d5Y93Tm5OT5OfR8tU0iBjyoDtBNXKLUrmplS7fAMat1jiVqMDtjPl
ExQheG3OGE3LNOpDTqWw3QpW9oukL9eGk5EayIpnqyNSCZZvsEeY8kCcRnufVOO9GsarLkpAJ5Th
vUz1O0dW7mEYh25XKMQ6Cz8FhiMpICpV9dkglOOh6VdP0ipp9C1IEiQhb3QIWPBmfeNJJ+J16+vm
sHYk/tEYh9zfTIl/kXwMbhgaVw0XkCHgzI8zYpZZhhPE+blNKHkeph24QSbDZv37W4D+66/D6MtA
Rw7pL5eA1p6yBN/iOUvTE4Ud9zyV6DzOXnhc1ot+hKxVj+m2G8p16iTbRg+PIfgLkLUHnlRHk5am
2E2uqYK4sSp1ZYRyKUFls0/7WkiL2ZSPgJics6UGr7//1n/5nZs6H0ohTJo/MZG+n6LNTBZR6yb5
uQeYHYx3apzBAjn+/ot84KjP6p79Xd6bA1eIEB9+D2jX5ZglsjuXAfQZOj12LA0Ei6+Kc6PrwFMr
3ZNSpsV17vIedNVd7/QQhEdKs+ZI9RRnzFGTvJah4d7mnEqy6BgpWaURzOYopyBiBtqcIyXaM+Dz
mut8bqwMFW6E03xDU/1r0qbURxEynXqk9UazVmEaJaukNT4ruLdNrI1LnkoEX7CzLosKsEdYE2kO
QPqNobWrJv0rDJBXJitcB+S84F+dxsnGkWiPylbV+vikhjRcTgNY8kDDehK6CC1aFDz4Usvuqp5l
kasFRzOjBbyxynZraf2qKzji5iJcVJlkVar6xVTt3BsmRljNSI+++irFWpr2jufis6MQsbR7bTvG
4jk16hCSCmiPknyJwW5kElw9Bj5m0IOxh7Fs2dZtZjI9Dnupdq9JpIef0Sw2qoV7w07Dk15MWM+a
ah0Z5JvoCrnJyK6cXVgVmjUNh8puvuN//6fWiy3op0vz9/cDH8g5fze77eaqn/fvOh/QX86ftWcU
sFfDbbCjlF16thTMWTxPXwi1JbgkwqVmDSTH3hDy6YlXBYYJ+dWtHjQnwHALoEAns3CewFKH64Y0
8lpKVewyU5cA39kAEoen27wQ2RYjaun1WjS3nNMmQxH3jZoViDJmdRtkAMzoCGfj1eNyaXHv5WW1
trLpc11Yr1AJTHZ5hU15uH5v6SN3ZxbaRqt5YD+w95pKgjXFeoI9tOt9/YtlD6SUeh4Dbrq18uHO
d+Oj3dXLqjBuISbxDgFGMuq3Ztedkji8rSLzJrPdjTW2T06SiAX3RnVlVTSCh1W3Qr/rls6MqjGI
+6sIRx6knVeF98SydI1nzVCetJA+v6qdjFVok72d4KcqQ7HSRL1R1Xjn5t1KJ7PPaeQR6VOX5NIO
Nnx4uLcNxzyyTtreGXOkwBl2DbEQQmGfK6N+zW1rjupjh8u9hD4uirKOdm6t+0J4IUy4ZZTbS92N
rpOSTTElmauChL2VUvBVcqEprIC5hA9jp7jXfdV+oxiMhNWIJ0iCyW4lUT1683Ss4ZpmHS14aZEB
8cbRgmwlgomFGTfURGJRBncOkvexKNpFoERXdL+zsqZfOVEOLLG9sA8g5qTPbOfWUAJzdwdmUdM4
NVO/p1mdUvY6Kz2pVDHESGUT985hivFtu+RReo3ldUNbG34lbR3jsARod+U72jbIW7hA1TF3yNS0
bapQ1t6X2zG19yLoD+UbA2ImDwHmwV1J1W1YIn81TAmptYyNbIW2RvVSf2WZKzsBbumcs2FtjesC
v5zdPSLSYFFST/hJ69Xgi2Mc9tTF+75/kHpnLxsqKpY27KBN38Hv5t6wJSfeeKPF0qrjFmIXUGht
ciWdX2t/c7T9zSf1Y7JVD90RvFEiUVHRFJtThhF86ObV4iWpTxoTy++PCgb/D5sNbDV/Phlmqtr7
J4MeEgPIM54MRfGVorpuAJB5zIMnvIW//0Kztv6XrzS3RNN6TU5LmPPJ+E4/7hvK4mISiJTgjUAf
IqrLI1+fqwuKXVgovOeG7lCWEW2MmqqdnAr4hRUXGP9jUE3Q//jNaMo3aGXXQ25g5zDkgxIVl0K1
b1Oub0w9y7bRbwc2l17ewrdso5c8Fo9KmJY3gWQfb9JOs8lMOS/MCUQS+6ErAXeHv8lbw35knXhb
TsT9DXMvDQj+hk5uYdyZpXvpk+BQc2zbCuVGes6HCUBh6CyHUnvMynoVpf6OXg4MloOzaM3sdVJH
c5n2wXMFmoMqdZ88RGMEf/Oq/rxo+P5gf/+izvuxdy9qYmHwqH1nODvDSzh9Gp2/KUT+u3//w8Gh
Kil35CAZaS67pZ6SmNr937wtfv+ueLNKvfsBMitL1EQPxrOpX0VCW/AyqeH43ZX3Pw/Av24JqaYR
Dskc/Eyz4f3nV2mwGzaogp/C1Zd6+7ntM+4k99Fg/81v460f+k9W+yxOQRQlNcgHipQiN9Ofv9AY
R6CWplI/c435zKHm3aVr36OPYBEtHxf54nFHuf3x0w0k14dh9crK9xOf6GZr7H7/quqzzvbnN/LX
A//DBdDtIrd0Ax4j7brz1CWos1u5ya5pkVu5yxTRfMPrvNaWmK4W4crFs7sS5/zz778L81ffxft3
5/zweffLBc2eOnrN6/5EEnhlL9q1e2UvWFktQm/zaC6Plpdt3HO4Hrb5rbm9I4u0GbY89xbTpqCb
xUM681xPOcptvmkuIcL9IvAeioU8q8txY+7cHSDybX2frW9//61/3Ha93aDff+sfXkBFb6K0VCLe
lwtMR+vma7ku7zSP4g3P90IvWv0/9s5jSW4s2bZfhDJoMQUQWqYWE1iSTEJrdYCvfwssRWbXJa3s
TWvYzUpmMALhx4/73msX63xfbq6fj6t+Z3hc2JM9ytx9cgam5QUrM3W/BN7jz1+V+uPw83++7uby
59+9oTGK1cYyeVXRznEjb97mm+C+YLWCXNdFpeQ2HvKcjX2ut+org7TVz3//8vh+fKq+/x59qDaU
GmlqK3SL8lyurHE8zFJ6Hnq5/MWhtFSVn/2eD1XHJjplGOZsOtNTu8P4WRbb0fwENamWsSlV65//
q/65xv1VHT5eJiUEH5pRJ/05glc4BbdVePP/9ws+3Pk0YWemmXOBSo2DmjAHdH61Df7FB/MxwlzK
K7uwJr5oZXXGxbWuVILv7F98Kr96nz4Ut1bJYHxbSXcWy6cyZyA2/320/A+F2vrwgPUAB3vE2tN5
HASA5TMxmR474J9/HL94uqwPVckMQmliOMdpIAi2cIpVmnUXTes9a2rBXqjnIfyD+Pt/HkD/+PkY
31xYoFWdj1mmtmZpQRV3/VnPvzbJOtUihnybn/+z/vHj+e53fPjSZACPpTrSxZkkQub3N3n+i6nC
r37Bh5I4p7nQkrIezjJFm2F0qmW/eMK+nY8/++IvB8p39S2KWfoEGc8xdwMXH+qeUIcTVwRv33jR
CvmNm/9uHvw/P5klw+WntWb5V3/3K7GaQytVI86oZwbDBVX1FPK73fENgepucK8zvGmObmOVe4pr
30jubbdaTvXrS33V9tza4SiuYLhtCy/a/Orl/eNB/n3J/fCw2nEzykrAl065LAe55LabTN8Viuem
G91/Ktw9kRyHr6iVSaR/mA74Mn5RvdSlPP3sQ/nwuQ9Sa0a1M9FL+IM/+5DyVXj9h8y/dc7mUdv0
/ou6DtyCie0aU9XG9qRfVOhfvQTrw7kniV7Si7HqzmRJuoIkFDf5YqwV3zr072JbrfKjtZE20tfw
RfPEJr2QLfn+82/Xt4vXT94F68Nzkg5arrcFj2azFuvaJQlk6ep2qXc/7MRuhwvJnc8kWT/J69LP
19XGugIh8/tVtCNz9jXzfvF6lovZ/7yev7/uxoe3xJYcdkMFJaVe6RtzY2a+WCOqP8YHxf0c7oCI
evau2jLUOwrPeliRosJH1G3S9V3sL03CH83Bf6t7nS/Er1b3Hjbs/xWsLT/5597+m9UWQ4nGCh7v
7A+oT/U3TYGcBXLEpg2x+Kk/6QEWOdxkXzPPNRa52lK9/nThmr+hyTJUUmmw+nMj/lfIEyZoPzxP
/E02IVMLZ0hD6Li8lB/roBNITI5su7oU2BLXJNg37GUzlfi64iluNFIPk0ZB99iw1EqJPZuNblcb
ytehlFGA5fm4H2EPQDpn8t/J/TYswxWDFHaZDRKvsmD4tAByEyv5NAbE7Si4/hFNgZbLCG5cWdgL
aO0m58pm/cFowCjWozaRiDsfaWwecBASSxc/BYl2n+dxcbEWYCTpF6PbLxBJGf/DPocrGehArVPH
ubFTpjSYvt4hevbrUJXG+6J2tggKD0klprUsipXUittaGS+irLId7pPzQGgONpKNIbdkixrimFvN
XdQy4G6m8tQaFtGinbZJZScimLP9POHORP8WDitrnhpPiwNyGOs73ZnWRPIZrqM3bts08W7IrFdF
iSxvFCMNxkKYnvmWCrZmAIC3URkrvmDq5mcNVx4m6EGoTFtDUnhr+ng4ZDGQy9wIz04V7x2bML0k
A/DSSV+SJMNYV7MyD8t4M84EV9UB605pYK6pRERU9rO27jO4LmHB5LlT2HktOvVOu8VNelu2X1S7
/Grx1/UTb1lcQ/OKlPYtAuLptQEQTt3qYEhqS1JLggDBBGuaMZOCeBV7ZIBs7dK5xatEik2unGqR
iJXMgJ0d7hJ9yTO8mVX1Xmdy76WD49uS8VAVk7OvhwQrMWN7sw7O8qLBsoN0HcTZoS276xggOMtA
II/FuoSk4itG/OTorc6WUnW8oM0j38nq9RwDQKinZ/yna70YXvVxqna5NtwOLRNrZR7f+c0C1nf2
Pli1cilKWK21MqGmIKExSKOTA5LmOGjNJ6UJuKQ2ior7Eq1iJOXWqrbAzKymogXnNbMKRNuITbE6
h4Nk7atF+Si+iSCtb4JIraolF9/XF2Rh434wNIK8rXVTie2CdZkMbfS1oHlxdCiRrPWRLlb8CgbN
OGm3zUgD2hu8xTZJFVIezQ9aVRL4puIz1yrrzq7NQ6dM71lUpz4S7tssiMKDOQ+rOSceO8KV7ST0
sybrS6b5X5K5crAsW1+ERZ6qZsM7NQanhd7Z3rCo5i1uTgECQh+DQ0VCUuMBfZWIFsNLVeI+D0Ib
IK6Y+AkxlERKhhOj2uBrVgVXFq49QYydjOW2Lz2zh3AWzNmhVgt5NbPt2IY9GgEkAmQL7cdEBcuD
+COBbw6rq+uOkS4hlxkb412Wg/S+lPUKGYWNoULJIoQw34ryf6eTTo/8k9Mpemu7t384mfip704m
SI8mrTWwK8cyuXT9pSjTfkNkwS6RP2F+tuyN/szcUH5TbIa4nFc2I9dvVs0/TibiOEC/sm7+pjT7
t4AI40Pnxcmk6wtWkhPSgEeBsPrHk0ldfnmV1dlVpm65hs7GSNHHRwyC4aarpUsVIe5tETilGSjD
ZrK39QTz3Z6x0A/CZqO7mDuce1SamUeiPclbmlO5bUjltrWtnfXktQYr8PNbQu1Wec52aUShxYD4
pTU6siFGlg1oilpRv0VWcpq6/t2CYzeCHOgkZDKTUlH29M8m5spwckj1a0vSa+O83yZVs20c59Di
NSvx1s9qspLYIrqKMRxNtXywUGuPKgvoqdHjTTSrbxlYOsypz7AcjLUVBD3GSeQMDbtUCIjY23Sz
3cOnGNZ2UB06FV+blqzSKLkLBlz/QtPYcVaCzMcllMGu1qO5JNfz4g6aBRQDtiJfzEIpXOrbxdGy
L0RMVJtJZQcYh6mGxTC4b7KSr3kvfLkYJYpJckqJqfJjiDIkNFQZWVKW4VminNgt2SvYkoAtO9yL
Y/bQGY0E9qXwCUC8iRrch4Xt7GGPYfg3upNTqPd11G/UTtwg0ZZW/WIqw8eBY9sm7GExOarFjYhQ
Pem285Ikyi1jJ+pSwEqQTIHcm0ztfs7jFwLZ/DGjnsc2KmMtjo86+OCklr9C9jS3CNVA7Mb9tCJR
hOVuoN30XfQUJbz+cGJEN1PmPLPSt6ROVm5VaDowZXgiSQoII/PHsHH1GMHL1Ckm3Qe/RxYtMyKn
oKOJnoMpvxWNLrzSrlC2aP0mDJkh1UVHchh7cH8Etc+OG1YiIYH6Ji/7S1na+LoCPve2d1NF1Iis
qhelj49dEh+b2Il3EhpAzzA5GHWVDazTTqqXS1rnJl21CbSSkCnnyArTomXByx628VlOypc6qeN1
nbGF7ePGFyQHmyMvlCUW0+hs2NaKfFVVgtOMcUEPgU0K+11bVA+9NGzKtgDGW64hpztsx+KWDMbB
ITpvBHKXobix5eEZq9h7O4BVScRmjKsJJxsBj4W5SFb4V03WtUQ976XOcGen2Zr4rpo70XAKpHg9
yQ6SueKiGMVVHdAjGfNF6nFTDhPk7aV17PsGmUE0++qMuMekv+EBJeLMlABC1qjYy4K/lGVV5SHd
yllUoqPO5eErPMnUF7mG/GkRM2tp+0mAExhLG+qI6BHL1CSy946zUQpjFymo7maI0g2wYS127cJB
gCcJ2lWhEahmRSQ1SjZaeTybISGk+zJIE0gR+pfewKjXk1ZZasNzPfefIcMnrF9RCITaeJ36ZEnd
MuEwdGbHWEkdUIr2hdoc1DDrDtSeJS+ngrYiatAcRd7tjAL991rDTGk8DHJq25tIb3Cv6jA62IIW
BFhYoplXdh8KZWUXki7cekB8u4XRMyEl1Iw5PsPAnvo7R86V7m50Gkk79KJnNG5AWn8mqkcdLmlX
bcuQ5q9KEN6Xeqqv49gI3Zp4DqUJb1tw916Xir2uF/26kRrYKJJ5MCwB+x4TP7os83NNug06fhMe
dKI/pxLRP9GAp1iRZ3OvlTzMaQFxlv+cqYRRvlaB/gaAXvU7G1EpGrGvIErQm4GjJ+VjxBMrD6zy
O1S3UypOU9X6InYYkFXSSS+aGynoD7ldvg7xCMwbYaaAH9EqeLjDysi8VhN7jJCGPGKTtKq3OC1J
iieioFNJ79AI/aXLRYmoJuegdY5SMr1kkfp1VmT+ltD4mg45gIrYl+Y9wFRypQ3MyWFzm5Je5MoR
afPCF2DJI+skkzbnO6J8Y7+zi0Bje0JifFgDr3Z5GM+mteTZGw43EUm6AXyg+qNlzPgn+hOrQMwm
xNbxLlRbq6hxQOBd3mj6QG3XKwzNsbWaUSzhxJbuu9SfjfBJbYCe2ajxYA5xp7JTZ+SXQ/NYgsG1
GcnMLDLb1+ALseLGIZKLalxZ5Xis7A6tkw1fJVSsSzwWpz6zclaVwcXBD97mLb1Z92Y6I0mpQ3o3
cfOhg+R2FjgcINDTH4Ke6KEe2nCZlftESnmN/fyM/Ay9dE/gcNrNpQv2joDfsntvHeeBAr2Wq+yY
5lEHH1nbMit8wCi6kWJLeGg9d9znyNSrbh2j/BRz0KFTlM+6jN3a4Hs3FHoA3klpPENudqE0cCR0
Y+gSS5FgNk93jgG+eAgLL7HVetMa8ejFeos+t7/SiawLtXscckAwaU1r3aOlnHpdrFI5H1ayYtcI
rgOGRCF/anFVgd+LTFCSlI2JmWjX8YZ60PMuckWkoW11+77gKlibzt5qxQN6ahnPP4cgJWstxXO4
kUblkBWO6ZFUCi6Ib9ohVNSrqRBwK7VV7XaFnO9mlVQZpAUk22h1QKKwhkgivkZ9gmOrRDJbYIeh
yFHgjHE75ypfCcO+qlDgUGRAbDFL8bkowyc2FJe2sD6jN/osTHldtSRPpeEz6Tam32nxLsirZ7m0
t5re3I34ZVCuYF2fUk/OooPajG8hvL3eUt+dFIBfH9/MigXvpZPvCn0p4mQ0U+uj38dU/7XdOvOR
n7TdBCjEU9n/Q+PNz33XeOvAQZATgLvFrkh3/V3jbSkOnJPfSerfJY/rGB9lFFAy/RqjpG8uj78b
b8eBrQ68RJdZNpDX8i+sHMq3rdHfI8al8WZOBc59cYWYvJQPjTcCXYSEjVleRSPzBRv0kYQqnTmn
Pm4RVLMEmsgk7uURDjth7Qc5y2kqiVFMdxkI8Oc4D9oTYy/htppW3yUUjq0h+vY8pkH1peoWQX0G
qjvKrInphYJXvsLjxRCJJvDaNnl3qRNUd5Js4nhAuGqjTlQycs+D4pwCifpiS9HtJDLjEiqQJ9Qw
Gjcz8MuHzp4McNTMbkbV6E9dG1nQ2wqYqlYvpWvFmMpHxH0YyLRWfUdlnT0bclZsQwP8WVEF7dug
OfIqku14ZTUOWZzJ2BygkFQ3IxfsjAyLNQL5yh/IvCAZQyr04XMJkUg/KEUwT2iCy7RHIN710rse
Okl0Jo+hr2lh26K5WBHtohUqIrqLEocqjwqO/DuKkDWebTLboJGEOgMkUsYANxAHOqC+9g26iPhg
SuQru9Ayp0/JoNZkypAwg0pevJhjpr0BJDZKpGhmsQ4jE7x6Dx2sG8v5TTOMReWnxjL6KhjrcUi4
W1AN4SeepNiTi3l+C9pofjdj8dxI9boI471kMcPJFXqa0SDMQqpGRM+20k+bFNUzJa+bjmkpwHGh
amXelpewQeIxjJEHdqRo1kNOY53WT7oVM2JzlAeNAr2tJDzhkTwOrmE3yDKT1ryz0XLuOqlzHogD
Ms+APGUfsjpB8mpnlPdBK+d0n5nzSbJGaa9lgHQrkV+AhUp+0w3wqSTmeasxq+vOF0EMc04q291U
BcUtt1/gbHQpryF1j9RwK3kQtHVHK9GTE4uz5AW3RumN8wJuSOfyZe6FdODhhaNlFeMF82nwbM/5
+FCQtLrqS4GZNBbVNRqyxivAVmd+oeto+9pWh8cHa7jjwmi0Pq7VEUQ0WLmtOlB+kRcTsre3xKjd
MGW1CekqTeW9Kqt5XS8WPofa7sLMMv4bgfxO99WZWPykFpfZ2z/xyJef+q4SL3p1BUv1n7DLvyqx
+pvODARzHG42pg/sYf4cztvwex2FLkdjXg5gk8XYn8N5+zeZkT4EKQ1d2uLV+1eV2F5WbD9UYvDB
C90cICdl2JJ56d8vKXU7Jxu8V6eL3YXN1Uq4dxJfZT2Xma7upzFNXyals9Z2N8gnxp8B6/khYmA6
zI+WM3Z3kVxmoIYUqodTBitL6hrAgiQv27V8zrLIOQ2aEhwNw2luYLvy8wOme7+fu0XNy/RS4gIv
VDK02g4LA+LpFBydDNO/GAOfCHfY5FUrXvMoCvc4mWe8RF3iMwokVIqlAsON6dFRay9aKlSQW3vI
TjZFUhoPRVo6q6Yc0Tl2TkAqs3zB2o7GJ05TzzFrAh5jA3Teom11tA7FUjIv/W2SvFeTMuo3XQFJ
Y55DLnvVSyTCAMbkQORQtU9KujqRFOlOnZ0R4omlXkMlfJbTaR/3WrPWq+LGIG1mFcudtOnMcN7P
Ya/to0i2VpmWHRQU0jts3I4P7lYnPbjQV4OqBgjJB9vl/oQBLq/wiJfDzdwkhVtlbUbQmDETDwgU
N4UXSGL9OdEovcPEuyP1nFnxWGl+HivKpcUV6E/WWO3qqN33avJKBIlw8wxgIquhZIUcnkzQeu48
OMnRiraz8TOJnO3AVLaJLrmT1IQkDg2bvEuDhb9XvQ1lmJxEp7+DCIUOKIdwTwzGvCMDMIzrd6Zm
3eRWqCG5FBt1yB5VsiCco+50JKeo2WWolWup2o9y2FqML+JdJUENowrDXMY7AHSREW6K12vQw1Pb
ciG3ivzQasq7YZQ9SvvxbmAPxLZoSL1ULnQ3z+WLFTrbIi83g2YcE+GcoJJtIgUX+ZyFJLAG5pUE
jPUcxpd8joni7vK1o+OSmI3pZHAdrlLpgewZzn+hk3AGWH3ug9dcbT5pI0QYJ7I/Cwt/pzE91A7n
mwgqtp9Vi4q4wGV3rlP2EZ6qmf1nnfRoj74MUFJQiiOZ3jCKLMJEj4pJvgpaca49lRNovkUg5jE0
1Xj33zz6Gyhw0bb8rBizXvmneTQ/9VcxZh1KtCv9sG1Y37KCvm+LYbywQiWTgZbUopn+uxjbuJ5p
fXHW0Ml873CmGFsUTrDoy+JVpo/9F20xY5QfijFLVxnnNSNxW6Y3tjE6/1iM06LC4ygn8gW2Dg+Q
sTxL2vJUNUm/GnS6IDkP0q0UdNxVFecx6IbIDRiD+oZhfery7M6CWePio/b7rpMhcMafsCbu2qE+
kgiIb5FAWtZwYJHMoUMspLyOlgg3rTq2h7yud/VAUzLHF62Tdjm1G6qlqzQthv2AfMRh4mputfa2
iJPVTNtoEZTcjWbpldJ8hQIbLGa0W1XrIAVbEpz4AoCxpPBVke6lCEJYMCQoYOIY3JVJcvpzFk+v
YwgrNDGS27ZBO93UrQcQ7pDLNSvdudhMZame5Eq/RLBiXVkB+A4JZCj6g90GXypnPMSq+aoyc73R
BaDSsAiA03FVZi/7wg5oBeJBeWPHSpJjavtz2zzGqvwlZMzuUitrz8yyB2FJjOBgpJeZs01T+zRl
YbRS+DcEcnqK5+qtTfDlDUEar8ifxFil1mD5jIA9K0Poxs4fOBsvuDteYXHBDbTUo7DrTaengHjB
IWFfUdZ2G8KBMi6pikXIGOdtPyqoTWfsyKaz7kfjNA5E2Xc2VF87uYEARax1IY52O5NSYyNVD6rn
ODI0j+6cECEnfaxb7jdp2j0b83gYqTBAwvKvpd2cVEULj1HKWjciPajoTBywPc6MTt22AWyQtg7v
1azZyVUEed7qnP1o9tWKSI0vRWjdhcG0IXlarPIy30+l+o1H8i70aom7AcDSPfH/bYuS/bU+2DYb
CDzQUdJdGehnR0fk9+axVNKM6RmjBpobn6DpiFlP+zVX6m1iNRuTU8fr+iZc8x+elL5eVSUuTTkd
Biwm7Z0yNJvESF/0Sdk4IUW5sg22HWSBdiWOlaLIb/okmtYAhdd6h2qQw3k1RThT4VPZhGA1p8rJ
8OPli0J+0jZqWB5SQydYEmxHSkOip+M+iVD3Rw3qG9j2EDoOHfoDUIexNX3uw7J5ihBxEg/iwHk0
y8K6VSuIByFArly6kUnzusVBxABEETGcbXkNm5DMczX4mobiPTAcGRMeyyG5tvZWIR5bs/nUpdzX
qrK84dzaSFF6o6ARgNRneKy+/EqQU6JZgx9ncrO2MVBgHdP5xwF5tNihaiLZYhPRV1HAtdnJrNlL
hpZQgTj3O+Demjm9CRPCoRCvdkCX5UwPfNDYGBJpN8XSsaijTZRKuwJ7vpkqXphkWJuDbQJ3ILXJ
0xY2GSb6vNeq7kmpG6B7eKRUnC5Dzp1Ci7nbxHXKSFcFIWdtRgboeZXzgTx2TbKZRL8G0eINRAvG
EsnmaWFhRm39KHae8wSbTttEx4EUHJ+pP4DS3IQjnBZbbmVnFhqfW3ApMgGMk7DAitMgQWY+YTHa
jQ3XvlwlOZtAYj5b3PdSv+3b5nPfDBeW7n6b6PdyHDKznZrjnFommIBipad8C2XWW7VQnLWSyndG
H7zjHebpHLgYEtQC9HvYkpQmPKmGgaPl10CeIb4D/kti9CN2TLC63p9GqzgICTFfnmaeHtr49kiA
N+0tigYWhPLGsforc/onWa12gY45aKDfS5OM+icKCXNfeathCPXiubnoMgljYbJdYMlVPJwDc75n
Do7/ursJ1H7f1AO0QYPIe4LD5lldm2az0iRlx6x88FtywKnC2toxugNX7LXNqMBz2HLXlfwJhTyu
c7V/1WCUe8wqtB00iKuygLLD8EaZ7aNjT4M3z2xQzHncy2bqMeKNPPzt5MtJ8QJTN3oy1MVVy6R1
mk1X1bG/kszNpqQCDc4ttLElZv2k+4zkc0xdde0s+0HEmPxzA/q5yA1nJRI1e061YAIBMXxN2h4k
q/yY9QVxZ+UxcloytcCU9rPKQq35aoRYlXulOkcCNVwyP6SKiiN0SB+pwKu2MG4aKQBmITsvktk8
iVocxjxi6drnFlIGwswUppJAqiPB8AYmjt51lHF92gU1EgZWdTUxlUR5p49DJo2oHVhYrqW5Gz1b
2KtMjnesKxNMf/nsizL6og9a709DKTCPK2/OPF+UBpwE7ULohzjM2KEkoNHrr1ZHT+p0yEpji3IJ
J8pHfPNUJuq1zNVblsSjO5Q6ns72s8EUv8MxbknTpTUF01zqV4PfHqBO8SAm6bES5X0Wk7IxFppf
ZeDnbahfQ0qyCP5h2EH0+Vmf9DcN272VwQJ7qy+BrmYw5MLLFW2IfiFoVZe74I93RRNHNNxXaMmM
7pYe6fu7IrFMij45mnNR7nL32VgP19rDze45b/e37QkK5Kr0um18NDbgOLblOtob8OZP0e9y5P8m
vwtq7ScNbvdG7F321rf/MPvlJ/9qcuXfaGMtLCaq+UeW2V8TB4V8DVSAOiKKJRWIsevfTa5s4ecm
MYhFPRA7/ujPiQP8OrpmkusWBK2louL4F00uIUQfnyIg2zIvweZp4aov89K/f4rgbmppI7Ly0tOz
zSciyozkrOhyoq46WtgrZ8vQecCNz0ZVX3vuXjrT11Wj5veDknHfVPJjrTYv8Lv2WVvcxnnsd5IK
dTgJTrZhnPjmpF5hjZtQG0K/adMj48CnOSneya8Qbjmo7eiBc70xwnmt5PDfInzTPXZkX9UBfGRd
cmK6CkDEBgKhDYXySYWAS9pymK2B4NjKjltBE+/B93bhJlUkRFHy4Jhg3iotwSwjIStxF/aCFVv5
pracvZlBlLjXgg7NW5CPSQ9Sh5nusUni9iUZAxQNyIDV9dAPyUxTlBystjBJRneMltUbvmTf+ZYV
wWE6AIr8liGRM+MPXUITP/XEMrljVjxZS+hEx7Da/hZDQR5FFRDEZI1EVCQ2YRXMP07MV2pPbTvd
pfdb1XOAUwvBSRmQBk7mhdTMu44MjIHNXjGMO9Rk/kBGhhiNizOYk2uTntFkKtKJ+K0iNJEQDckt
u/6EO5bpM8kb9tKFNY5yO/TSziSbA+Db2V74w1rj5tK4JWGZfjPfghk/hg60BTI++rL5JJP54RBj
oJIBwrKf1sPaBkp4MQn7duusustIDbGK2M8qeTMa7W3TsagURGeSMpJz3sNxf3PsFgoHMSR2rqlk
s30tyJvWySnRyCthdw85j8yLsj0F5Jk4affSkG9i9bZfkXcCkuA8l/nFBqmMWvJcQD5syUeZx/I0
kJeiEzTNZ8mym2U+eSpJQGI5+SqzZqy5dO25yWwqU35VjWRNUuqp0rpPYQnhZfnoQwuxUKN4ca5s
bJJccGx3LimvJLFE/lQn58ZUCaFhoDRLDwZZMFmyfMLY/0Gm71q8zDiYXIf0GOSK3A2yJ64xD6Uc
EfksrYPKOALBX6ukz8jJgNJhUo4juTQDL8JzSKpJSawJSK5BE+U1EbEnJNowaz6MJNyULYpZINrv
jaVi1RW3zRKGE4SDcQOAbhObI0E5gU4klJpfmgwnOj0QeTqxWpIct2xsXEPUF9k0jqPCI9U7+i5D
KenV5siIpXW+TCH+LpGj7dPoIMMbUXemL8gWHcCk+1jFX7tk4vHTTL+qgg23uWktacEroo3T6Iho
bef9PYlX9EAatx69I02jnMGQc3F2EdFbnhSx768GqSBmQzkFun6rN1w7IRgicRF84kzPr0klbVo9
x5mYlNuKTpiAQitZ0xyeuqTfpAHBorTGMvelFU8Hn5bKhNDp22sNX9Er9PagatzMo6mFHUhodQDK
q5Y2Cuqo3KzPlarG7ljnnys958OYJWB6LVHpwcSb1Zk3Rmbvyi7RfKj3ACTTIHWDWXRoX3qvlBGg
qpEBkzKujtB+UPLQvrCseO4sHbCEmhNPm8/nXtFOIo2/mBo3QclWt0EF/EXEESmOyXBrFuojNP+9
xAlsS322JmWoQmc0nhD+T+6gUwFgrVeeUxW9r9ZB7yK7qddJPx1LdMuuqcWXNK0fBrMnKicS96Fp
8LwDMyskwo4gKgcZbw2SavhYTfJAI114TrxEoBnSeJzh5hwig57yv+HW78MtjsmfnP1UjvfmH859
fuqvc5/DnZ3tgl3+drbTnX137jtMm3AqLwQddZk7/XnuE5+tLItdFPp/wGn/Ovft31gvQLMlOktZ
Oop/NdxihvXx3MeaDySKURrCbNrID93joKKjqCVnunBqtWv838Wq1eU2xe1FHBbJzokwWOoZEoOj
oKhO49jfEfm8MewUKlaDuDeOZOMoCrRABJuCTWv1Pdtq2csmrV2rSodpCITMVgx1daPqEMNAogGU
mEJjw/jm2ZkBY0qG/LmoEREp0XyTx8DfgpHkBQloiauFYJ7tbPCKclh0QFbqxeWI0ttmoN0j3PaK
XL1JNSnbDTmAzhz+rNxExlayhHCRmrQ7hV0wBdosDC+u0ltdsd/HtL4jDuZY5YT7NLIp7RIEPvvQ
yZhYdE51kXvmV6p663BjdwNGIbRNIwI90oxEkfnB6JxknbdGUzNXhMONnM6PeV89OEl9iKP2FTLo
JqlyXuw8qh5ZYEfdWLbnzJPmyv4yO9DCpimtPVsdDpNVlh7s2dqTejxFkSnWDiFNKetqFqYlQ+uW
JU59KtTqOYk5ESytCrw4ypvVaEyf5lg9E9vN/0BuE0dhRkqzVtvXVrOlaSP1y/Uy4vcFLGC9GrCr
rZAyUZUgs8QaYvlGRZXTL7fwZn6fbZbghjUcCmE0ntVYNitOimTRt5Wn5/CLGhs+hxNSjUdVf6r6
7NRLJErXerUahEpy0vQeADUB1th5ahAuUYtfeyssfSsl76LTZ/wmcped7Ey9Bs1kuhZQpm2VVIhH
5ze7bgNXQWfL8qikpdFbAivMcjcg+EmS8qaXc+J1TZYwdsb6oF4bWU7Z14pNr5hE7oZPpI84bpe3
h7DpMpokFEE28h/XbhHzw9fqfGua5a2VFdyNctzp5UJriGvnkZjWa5qHNYlM5iEYbVhJNXQJksPf
WHqBcx/KN0sgBmuFFPutFMzboGPqNXYpZKFQp9dUewJHlLlCkBnCT+nCOyuweKawU2zVPD91LCC8
vlgOcTFLjH0tFIy6fuDWe2Mq0UuBddQtRG6vwPofc1PdmrZNbQ+diyjall2Qig43otsN2R1D/uoY
WhLwBIjiUgpphz4LOPmYfuYW+pTk2qdqAiSpo+wF+PJOkSIXjlEMSU/nYTTkVWJjvUGlMBydqb1q
lfYlWaK62yraakgOxsQ5C7W4i4ssYXwwv2Q1I+yWE4whWJKsq0Wh1gWwE8sa4G6UucyS3pMZKOWk
Bpu5ZxcOl9YkY3IZ7ITxXRmFI1/qOFtJVfpUjOWT0kQA4wf9rZGT18Jk2qh0MGiqMqjcuNROfWk/
Jo10AMS3h88vY/4xVmZU7YPSIBet7HHuKKA4HOmF/FC0G+WxbPLMHa0WK15oPXfz/2PvvHobSdY0
/Vcac59CenOxAwyNKMrbklQ3CUqi0nufv36fkOmqkliF7qGA5QKH5+IAzVIkGQzzmdcQKkSe5hy0
ueXMqsRJDjooT2ghOfqZGmW4DhTgKp/+cy2+XIuCfPj7a/F67a829XzEX/10LdIpVw2a7NxhL45I
f1+LgoNAW16w0rCjpJX+fi1CNCB9JkUlTSXzRTLxRzrs7AFaQakfqJTovwOg+hfpsKEImu0vRRVh
UKmIZyGeBUWMxPvndDiNKbXEfIyz1vGjahZq2o1nyNj0pdJhE3uofevj1BCgRbdtln03KBOqSeZc
aZ3D2ojMaQ6bYN8LERGUsmLRhCzHVAli5JqSedjkj57as2TBC/XuwjSzRpppUvOtIoe5HDBrXJil
6UKZGUzuJQvCFBq0OQpXJ1zkzcTwVDQ0LOWhdqtn2W3qg7xL2dehAj8rq6I5KNTLQekvQD6aFwXO
u1iWd/YMyBMcVQBTk9gRxLcGWsTgcFgiyzK3+2g/9BrpQAktdx7CDJrYTfCkpGrPndfioVQTw1Kj
o3js5aM7qTUkiyI3Vc5cNYSm26T8N99JDyxULSc5jx+DGE85TMR5SlACmHdQxNUENlPrTmLLPQsz
/7BP1YO65E6ja7uqEYg7Mj02fla3BkjK8DIzKlEXOGolmWKuqSGIlbDLRxH1lk0JUpqGRemb7hwT
uJt8rK6csiSDkO2lUYznZRcNMyr4t1phPWZldlpQTZuUin+o2MY5BuvXXovmZ0cY0OKWWeb6Um6c
ExJ8uGyVZGLDqFsLpPPuwi4+xHHyvg9rzJgc6bn3bITyamc/iNvvRuqs89QqlopO6yZMa5tbi2lp
Y6oOmu/5x0GA72aEniZG6Nm5PYTfItlKJl1CcTlOjX4O6IJchQLyZKyqW7Ot7slGp5muZvMIJVKq
0oE/hRnzLdOwE01klPF72/RmldxfZ/z08QsAPWixYsbhHYVzVN+nnt6c5wKxLgvsOgHbo57Xd7Tr
nxIv1fddTXnKBd4dRy5hS6pSJwELj+tLu28KfDwCoB6PV/tFI6PJJ78A6QOBqc91bSkJlL0HXGWq
2RkbAQj+ABRfB5KvCWy+g9foXAmraNaY1TNtd5NPOyRT9n4+zQW+Pxgt/FVdpNuhzYCvZo+4fRZT
k4UZ4CrFlMqPNukgDXgtfRjf7s806AQqtAJq92dmZC8liuWNusR00e1OHMZEMvoqF8wEE4pClJi3
lpOcwR3hStDCYeZCZ4jQ/EIheF2l9R0qfUi/99ybWZg788pyymnmYHdQh1ARo/xEVZtFJSU3FQSK
qPCOaxorBwrUigDTKBWqhd506JwJ9kXZ92dJrJLMy/G9D1PDMMH+mXJnLcPCOlad5DSA1RELeoct
iB5ZFOG4Ksgfng8NBC5IsGxghqgwRBSYIrGgjNhkvRMTFoluGbdNWZ2pgl7ig6SZ9YJyglQbssqC
hsJ1hzNPUy88SiKEvCO9E9BDnene4sSa0oWATjXCbBkFxYUWGQo7BEk5DBh3LNeFoMRQ9QbI56gH
AElGEmqIMw7TOm3h0qhwauqOTpsmaDY0jnVE60rzIIKDg07SkQ4nJ/B9LAAETSeGryPD2xlN7dqF
PYPYMZSeApE3DBWUS2z5gOHBFPC09EIVRCA6IM+m0yyotAzwamwXEa32ooQ95MIiav3qRH6hFWGy
EAiikWslFzHMo94KpEMfLlIgSEly3R+asJRaL4aYQ0g6DQviejPtonksaE2j7J9gvgV1k2hsJpXx
sze610VORjEowkNbEKR6P3wqc9oVGShXWZCowBMRypsQqzpPGg9quFaWQIOPxXgxCBqWJAhZkeNd
9Qj8N4KpBWMLme4W5FF5COObMFrxvWkhCF4ard1pbOJ3gJHCXQILrPbkFfFmAPYGgpgNU4xg6EaF
OTZauBYA5Zzrrb5fwi3D6PcogGsWVi6S2SwioIyUOg0YaYOlPI4w1AyPM7unhIjH8bxQyjUtiZMa
ThvCl3NLkNyqoZnqsN4yLOQwaUPYkjIOBNEDC36c7NX7essiwJOMkzvHOgP6AeiBGEsx6xpXjZNR
N9ZRzUEZaGY2h/KMbxs5Tg03j7JLiVK1c1Y6gOdV+Hsx65aQncKuJXDnrYqwHt3e0qCxbFojXn2D
t+LuLOdZ4DeIrQ3ZXAZncWbbkr0A5aouyqq8CyLlykjxjgfrdaNY9X2I6O2k5FyYVCQNEzxDURXr
FZh39oOGVNqidErar9lDGeIdmNrZUwVvFQcsqKqpr1FLjEJj5lLV5s4DpMB7XY7yuEPvsEZTUqOY
ioNs8+QKCJRsFU+an56FoVNNXcml4YpZu5LTLdW9wd93MuqjHlgsNMhxBWaXFVPXNtAaktlleQAJ
D7p91ngHgwG8y+KcxB4e/mF6NWSjvwik8HtkoR1N3Kzh4LhwXVzMQkQ46KNfKUauTIuWrvUoWcu8
9rmKUx2GPqHRFGr6AHlKqc5wkp55Q/KM1FpGubU761GUJmj3jmUtoDNU58+2lEJd0Z37TthJSwUS
plCgV5GPenqOZr2M+dZFaacnnOaV457oYCD8gCoSWsjwJ7DlcorTLI4z+uplIHsepbGCGrisOIX/
KkTzn9aSQQD7hzi6DNKgHj7Xl8Sf/R1IA1elHKTAANBVh1Twp/qStgdu6kfd6a24pOO5ahIsg5tS
wVZhyPpzFM1/l2WaQA76EOCd/k0UTRz3KYrmyAeBpTr8Hx/lg4YKLLXeLIoqOU8V/AxOKrXhRBqa
gAISfiSd6kC4Ankq9uwjwPHvo9gBNPKvdLEnNOthaDt/nrNZSjfZL8TuwRc1xqjZOpXFzqI4S0id
I9zuin1HlxonRLEX/dw7lcTuxGO6xvAvO6uG+kkSO9hwuidd7GkfdGAjdnlmB0e92PeaE55IHASl
nBmzTJwNfo37YC3OC2sosYMGRUTM+dDCB0CReljIHDISh43f1coE0NaBZdWn6RhBjBPHklF09x1R
aVwP8TTk5NKM+s4D2LZwxKGmiOPNg1gyh8ZKy0EcfohlrixxHFbiYLQ5IYNAPcsEZwcOFSr7sHh8
6Dy9Kh8msrHW62ShQfep9OBIF/yfklJdDyEIDX3+tXOQyOVdA6Yz66FPpoJCBJXICQFRZjMZdhFk
rsdSrc7KMbg1YB9FoI9n4PEgJBnmucSHhe3UHSR+IEFIleC9So23P0TBVRVop9huno4vVCc5UCmE
Q38yCjtZhujCTgxBjupk/VwyOpQCROZgSGhiQG08Cn3o3KGgVxVefOIXjTy3YV6ZFbyODsSUAyfL
zuAaysRuOZLRMAYLe1nmqbqAKEYrDVJXKUAN+RDbi8jyy1koyF9m6/ZzQxDCMK+C/DWoBxinfnPh
jMVBc27KDS5daTfFIqlYlLBme/xNJh6MMxV476QXJDS9G6lIwEtLJGpgpSq5CzaaO+2y9kiGxeYL
OhsB40MolZeYfJ8Dl1t6IUAVUw0xVsxuklo/cBR8M6LRvKnDAoyg9w2ZizWZrwQKis6oIYh1raDY
2XDt0rCAAapS1LDyWywNqPRU3Y3EWT3lT5H+EKQ9rYW9JyGQrKlmjnFm9pwQl1IPzU/AAJxFOvYU
9dCDloYW2NAbnfeCKWghPs5eKW1UPQJ1irnpQVfjmhBpZb+q3TycocbhotwCA1GLwtsGdes4uNFq
BZM9wVVkr2FvAnvRrq16kVaAlY0OekivqO5Uy+SjAUlePcWkMwkDbTZCiUQfBE3/tKCHB10ySCkN
D4JBGbxwKSFVEuWvoh7OB2vtStcOpYH7ClNNCUJmZlVzTTA0iSTntp5hDWE9y4LGmVv6cznK9w78
TjwAT/NhuFIF8ROLJH9uDihGDklx6TfVKtbHZBIMSzsbcY10QHIogkjaKxD+Kp0q5vCsVuV3T2qO
uqy+QP7xpG7DaB+LkNkIO1VzEKVTBGEVJxN1EjaRaJ9BZy3r+jmXErLovhOCOdYqKMrvwFEpjGWI
CaiCGNt3tnlYN4K/akj2NIY/y6lb0P0jDGrh1tboLaAAjtY0B/JRJQi4XtVgMzq2h7Ug56qwdE2/
XwF1AmUnCLx1UcWUGenwVDpqjwm2UuAv6Sz3V7VRgOwRXKUeWZACGfI5Tr8lmy5jS9jmSVwCD816
l0tbE3K2LipRknflurgp5M6V4+oHWj/YBMkOVeohvnRzRE88pdj3aju+K7sqQGO5PZaAKggtaza2
Ed5aJnmM2XbRPseqjrur/9Cn0JkaPdhvu/SQA/1y0DPI6HICVEdtLiCUqQDpjVmL1sTCBxc2bStN
nxgmlB87PcQ0WJ9GRXxc+e1FYOjA4kkQXMTT0WEu6QR7MX/btleGGdoHY9o8VFkISTYv3QnNDH9q
hgV2xqP07OjE7bVfBgsoVhfpkD2YGnu7iC2bOrZNJNMTtkDfSnGsdKgtZMWdYieCtgszNxl6E+8d
hEl8JNZnGWe2kacyNixyvR8LJ1kHFFHOQgInsD/A05go/OSUFKlGdxoq8XWPxxkEPua0Dcwl+QFF
cx0ZHZ+ITcsM0A16e+MP0UXHnTitQ7gDgQEdFYl/DyeRgeVmW2TOoaCoCuJcLo3dLILANEhY2ZFa
d1NP7pBPiMwbo0YyIh2ejMw4D7183SsMh1ngncgtJx38ronZpMe4ahanEJVPuP8RtbbSA1lRlnWc
l1N9UBvMTCHy4f0VL6uxuNFUNn6carfSoJ/VQf3UFfG+44Y3XPbyUWCiRsD9v6ww5AQgcu2M0YEm
UXS1/LYXDXJqFnAHXWRxhME5IA+wkaB/25lqWY9Bn0mzpMxIhwQXasjsS8VNirkhhMdTPIfmeY4V
TRs37lIuh5WJJhy/Z6vugwW+7lMSXduVDgPPW5XYAHhgPHEsyxdZAZwrtfLzLGopyzmyN8eI5jEP
4dc1dXCvy5S2wsI8p8XzLdNNOHFxfzB62nMoU63QWvBeqorwv92jem9adHtrk46YnA0sv5CCuxIM
SCOPyr1ZtaeODvwY5z5q6hKntj/QCsEOuCMUD1dyqp5EpFrTOnBDIvf8KBD8Mb0uF8Oo40KhiQq2
HB2EXo0Cpo3Lk1yTgBaqm04zwTxDduXJ91CbL2yv3G8VTZ5mSdvOMnmgdgAbfZDMWxCgysTzXGOa
FNK1X3Y3FFNIdgJnmnXxcVMphPcNbQSPMj14Gv+qNq0Cl+Z62XhNNU1k5wYZgHMv7pypVtWUoXKp
ASPAftLApPeeFM/UKF1KRE5syFAGvFg95F5y3qPT7TFbXCF42FHooGIUrDvEnaTcfDZlMOYIEc2s
RKhBOdGzJXScEBp7bIfyyOEmnwyW8Vi11qKwm3KWesqhm2rpzBlbfdqb0a2XJNUUNyF1atP0DqUE
mPqDbJPLODgH27qUTZQmPMwNEByYo4SnapCBKix5z47uPckAndqF1wrJzCRvpEsrccyJmmRL3elu
e2Iuyk8j8lh5ls6LGhedwQDVnEQFX0dHs8zusJoH2nxko6Bk24PAkRd02LruGeoWdTXA+nNkVPbl
trnLW7auXyoXsZcKLIJ2opkB5TgjLCeYdFyhVoB4MJ1dwsuec7pMT3q9TPdLU6ceWT+C9gVpH9S3
RU8rBbOimzHGcWOIr1UdiZoOL6bMkh9Qy2Xxg0GE0G11syxujvOq3E9lxMgB64CLwL+LVRuuHWJj
vzURnOrT9ZiUh6NDtdMDTKSq6V0QIt4GNTJv0QCriPKsiKPPL1iZvtNZmMEHfMjGWsh9+Wz6hHRW
1t9rCTFfi1V6AFkAdNESKf2ZH6Ur144ewro50/XiMAmwb/CAJ7st4gqUdQ9w+brsfWXeG5B83CK7
ojxwkOsOTH/aL3J4jrnCFIE1hAA0rKjdeB6U7TFemMsmyKexIbfqYRUqw7TwLDW6iNPRvBuywET9
WAKJehEbNdbSg22iqZVL/3HnfSVTGrQ2/pCDNvGqXG9IQfmr9xRUsfZwlKYUA+eGvFF0Zd57OZgX
GtgPIo7uOKb8Imf4DnEw9wiIRLIp+DWvUlPv0EZjT/Au4QPh9YuCu678myz0M8SBB0Obl/kMADHI
Rj9AHACzyQU8tOZ0jDMKYvivw9BFkDeCUCy38WwoY6HQE0yHzD0JaG7PDKWrpmXanmMCuLSQSiSG
wwDawQGkkoIj1BxOBgsOJPSKK1mOnlqCxKmUtVwrEj6ZbqeeZCOhrCub3jSphMaifEt97rta6XdO
4QHW8x1q7wJi7kjjfqxL0rzofH+illTFPKmcBHn4zbDT7/mQ3bQ+qVVW0353TfNbWdTLFJHG2pFu
3XQ48rHaxk/0pI384zoLvleZTdjrWOelZjzGoOjnCV8M8b7AXOBhjoJtdp8MWEFhhI4iVk3KWMQd
xufdzaDibODV3b6uYzqqhhpmCR0F+Uiynwq/NWYIWx9XdXzdkeJObc+YG5F9mQXOE43U88DoB8zf
SEFkL6znbge3PW8hX6aPNMnv3UI9Ax3/SDkD5lJUevMm7agYWsm5lzsHYCbw4fK+xyrWb3lsYyZj
QlTp8uyxUxyEOIZ6lgw4yubAvPDpSmi7FJTn0EU4ritombqLjwVkQaqixBLdvlx2wDmcA081Loex
fQ70cG0l5bUWeIgqjXeJNyYzmiKntFCmjlwa9IBgsagyyZraF+YFDZgT3+mfQftlM9Cji0x25WlT
QpZKZPVW94xLvR5c/HOia91TnxvVbKFyiD83iON1rblLYEJUGTh4sL3EHk0wo1kX0vCL73E4jqhV
NMj4GTKoBDAChVIbExmKpzlG+7KFLRJ89EVR+wDrIxzzmpxfLalVPOEMkyIIVfxitPfNoMJjuCK0
IHo6FEZZsxJY2wQu06WFE1GXgoHkKgOh7opEl04cBXKQ62OFUUvDijMg2E/tkUU8VPyGiZp7864c
rzKv5KmpzY3b7rtyczXa2mHQIRlmqXT2qsIFbB+HwAyb6BGWy51NQQs0R/4gK1k5STN3WnbAZzo5
OIAFhX6n5B/IqRTOJAsLXVnOcOSRF4ocNNNKlpwDMLLDRGvtdRIWx2Su7SSvwnxOKWNpesMwUxuk
Q7lUbrLCwMa4RNymprVFEvJQ0cycyqUCuWTMx3MqT+qRnka0BiB1e8tYdXxtFkXdrWpjgTcvpcoP
vjENbn2m1hZOwWZgaPumm8jptUV+k830Oh+5YMtY+CTZiXVOUSqAtFoE/rlW9N49PmvzKmYJTXRf
d0/zClZTTU3f7qAEAvHzLToBfiGTjjhGfyHH0qHrFYE27y04sQT3MVwG26yKZWPJLqlD0NewvmQt
TsDQaFOliy+yzOyLBXAe9S7qaMCdxNhzcs7EPvqhpvUoe00T0h8dSkSSkdB0Rgr4ulHMqRpZ3rVc
W3F1r7qtxw2tjeBZScRM93tkBL5+IqvQpegF903+H0Tg23X5R+2B++ZhteGy/FV5AIyCzsblelNA
/f24LFEMhhog46UH45W7jyv2/bJ0eMfRDa5L9Z098H5Z2nsOvA/F4S2Q+/8S+KDJG/CASBuY4mrG
6UVRPigPxHVZy33Wy2c12DwahsbCBFp3pOLsSaqn5NDnAfPBqwIWFOFKmiFkiw2PflhmBtpzAgYY
6I5xXApooP4CEuzMRQtqMLb7/KQcJZDANPJr+1FpI4o/SQfXv3Fno9ktHdfeD6xcnuFYvWgqehap
I5rFnX7TpeWBHvjpdeF5zdTL80cTe6kMwF2p6AKXhrKb6RWP8eBEs6wiUyy67qDP+55aQOanF7JG
vTXUqUVqQLtQypvXnexOk07CsEUR1nRxASG9XlmN9+gmdrevDiibekNeLJGMSyZFJl3WsR2fOyjG
gpgAVIs9HGy3wbJmbkDVgp4geivuQGNaB1/naE9VYF74BiD7OiAC96O7QNWu68zJZ1KorvOIpr87
ejclp1qA8ECD9N0kGZUDSFFPBBYpdmI+nppoO8qolpjqfZJ6R+HoXCso+U6MUZSjVfk6t0IVzIB+
WPtA7mKX3FGtjdXQVLgbW9UdejPw+7DPQnUKnTxdPqcPp2DOG1wEDjmylGAHeDgMMnYiaf4slznE
MwGoD47aIfOWWlhdNib01J4gfDKWJGSWCdILgMHEyuOZRblMeM43KD+Cz6F4W8dVhExwmcyDtLLP
HDUfFnFqq5PWDJcY3juI7pdrtQDR6YyWdyGJ4toYGI8OEgKnxaA+x/D6aS2ZCBr4oeqcxj6yB2h0
AQ2NsPmrDWwvUg7DQy/KzgBCcvjH9llHiX5qmg51voHiaAQ4u1KIeUr1FMEVjNWBiE/qQKdY02TQ
zgxsynoSTXL+72buf4uiqEH7GyCC6qczzkvmzWNy4xQoB4zfb1YA99rNHhIUe0F7g3VNpQvFzp91
H4acD0qi6O1pGpnlVK5LbWnGxTI3k8O+NnBb084GJTojMuinTkwaKmfhrdy5N0YiVQe01DAzlqyb
svZwZFXUYzdXcXO0qdTSMA4njSxfJkN9KHfBoojCyyDw5mYT33dy+YCSR4bhPBKoAzUJu4yaWWl2
IBrklFIPk2vo0iFYFLTjZXopjTNE5NrWMcLNj7Y6arOqHm5zTUXkScH6puLmy+oRQ1TMRyN3lKE1
yKdd3D34AnRqCvhpagYFIXB+p4ELdkComiBVQwFZxdThsZa7fasU9VwBa0WoIUOKosHNFMjrIMCv
6WA81aBhuwIV1wR8bOGS4wcCMhupKt6Q1XcbLC007RsFbK2Csy6fj5YqqFsH9G0pYLh84Jk3th22
j9GJLaC6zShfVo72fRAgXkSV4mkggL1SNEjLTIB9UwppLehfHakmHzSwLWDBeUJFEIYyYGFXwIZH
ASBOLH2OoXYD/AtwcQLKOJQpY9vgs4nVKiQ/MsDIGL2gPScAyipIZeiQ9JYFeNkFcQsyGIaPKkP6
N+RHFGrfDFT+P2iNvn3E2apezVNKf8NFsy6Hy3VFbFS9Y+/Eu+cZBfPr7H/3j/480F/rlydfD/n6
//zX6gkZ+FlQ1WXwWIv09OW95dP/+a831SB0G35JdF8+2Mun/uM48Ypv1zzxBPCHiEqAWNRIW8WL
p8QZqlivb0uKipIFmTDZ7GuU8NMc/W4W/vwFX6fzz//m9x/+5zlAyucjl+GffH++4N9fX8OcAMAm
GnTO69cn0f/l65Pt02nB749u5cvrZcL/H0/CppXwEb76T2ZC/NY/pkLfgy9BjMZcvH/VT1PhcBBQ
Tn9/n7W3e1MhxLe32xSas+eAJ8Di+G0qgNL+MhWqvAfNheqLsJjYyUkQFaEtJwHJGUpLDophrz83
Yf2vk6AKui76Ngrv7OAk4Djyvzkeft0U1h7MYRu8tPY6CZ9WgrqnQnO2BI15B+eAQuTH5O5fHwyA
ayy0iCxVrAbx+jQH+p4KqoI52NlJ2P5IsPeQMSV7NMSy4vVxN3BRIHCHxY1wVdrJlaC//jqvtmJ/
RzH/JljQzD0ICdSdlbcb4OMkECyADgJl5exEsMAX/hgxCTzX1ueiECnge/JD/3ogyiwBVXVwx3sJ
Jl4ftXsXpLx11KjZe3A8VYWW9mvYxEx/nArKQY5K2rCju0HmFNt6IVjAE4kSXk8Ecdt8nASuTipY
hrnb62H7g4GeGHxgHbnl17n4dDAoe+jZUXtTd3ZTvB7b25yODtcgS5474jebQshe20TP+s5Gja+R
3DaTQA+U/qYBOfFtV3zYFOKetGEF2MI4czfvye2vCGtP447gIniLmDZshxdVGmNnV4K2/ZmAtDCM
RjIEetXi9SlsREbAEf/j3BCvnT0Zts8iOB6RIlAcUUP59Yogh6LFYGlvkIXdCxaMrXcDJSakSy0Q
fm9R46eFoJJNMz2cnDt6JChb5w9iEmiO6frnJaDvKXTNcFN5Oyx2dQ62XgiaCqEZWzUAMK8XJHHo
L7tBMfYMrg6oy7sdMCnbnwjgi4Q8sEFr9OX16YZQEWZXRDXu9UrevYNB2f6GwP5VVjkZrbeo8WMA
rYg0wzFhAO3qJKjbl9nMPST04PfDsXh5fdwUooVumJTod7bEpGyfTxp7GgoHpA+vG1/EAr+eDM5L
MRJwwWvatnvbQUAEt8wnNTCHMtrgb3PweRIIKwVcAlecXb0jtk+izD1+YyqqOs2dl9fnlWDyHonk
zq6E7bcDB6MB8BTGweZJ4EzQZVUmntjV8spbdrdNJsmWJ1KwgNi+HoyfakyEjYqhIKG/s5Pw+sG2
mAQhD0PJGcWW1zkQpbtfDkY6UaZwDCBS2NEzQd8+WHJoNKFLxp5/3Q6fgiWuSLaLru9s2fmTo8S/
7sJQcn2Txf1dnEB0jdKuDmBuR1fCG4Jgi+3AJKgIA6M9+JsMggYEaRSBhP0ane5enPB2bW0zCfoe
fvMYNr1fkR+3A2GzqosClHBv4rWrWbWQwdoyZKKwArqU1Pm1hLTpeORNUA32a012V6firYW+zaqg
NyekESi0vF4VH0NobgrZpBoHkGVHz4dPEmz/+pDkuqR2YLI9flN9FucDCBY6Ea8X6q6uB3XrghPI
Jn5rVgPW8i+vj+uBQjwyrZaNFdt7oL2T5fi3jtE2W4P4QVQYkAfZPBWqRucGWjcw9R3dGm9p73aT
oMLdROPv7Xz4FEkqpNi0pnY3iHqDl2wzCWTQsomkjPm7xgzxNpIF3Jy73ZMQhl3bXZ2genTnhUD4
VpX/1JoAGYqjr+68lXd2L5RSt48fiJRA7Py9HD71qDgkUUrBQVgYY+7m8fhaGt1mU2iU5UEpYOC8
Ob2CDIuNB5ienY0kte1XAl0YevPQjt6qDR+PRyZBJbHANW9XF8L2eba9x0oXS+ENDP1xDig7Uaun
e4N7y8trR6fiDZW7zZ54SaYtg3bVh4IL60ABLs9CeavN7eocbF17IoJEshROH+ff+8/9a+0JnTZV
VgxbOO/s5OFobN+eAfeJnYAoKXxYCGwG3rCgE+5qEvEGLtliGwjor8YPDEPzt0vABBVrkFnu6BLQ
XkP6LSaBfeDQqdWFncTLa8OxqDp0LBxnt4sMCIhvGTRqBuU1pMeoN/8mk6IcTfsKnN+uHglvZ9V2
64HMGi7x+w3ACvt4LhI0knKi8rGb5+Jb22ibSRCRM5GCaFy/vD6WFwQUXHcou+1si8rY/oYUhQUF
vAr5wcvrU4sK2CvtKZvu/Y6uBKFful0iqcH+oMKqyb/jCYkcyiFoNIUB306GCZ/sEP914ZE7Aols
YHzm75qVhM74P0Cm2tVJ+CSa9O8ngd69JovK6u/JlBi3osRr7Ox2eP1g2xyMQjmKTJFw4DcHo3DN
VBUF8eB/vh3+QfHlb4Ly1A/ipxdqMlL/mxjMv/sH75zcz+//RKN5Id3+8i8FVfn14T+oy//9K3P5
hSX607vvrNGXJ739/dtX/PzwXx72/r3e/+NBsC5X5SNCBC/U6LcPerpK4Db/T8z/Pa0+koBEleP9
v22mWf99IP55dLSZ1+8D/eBkC/mRH1/1M4f7nw2erJ6y8n2gnwbnmt168InweHsf56exub22Hnu6
ilctP0n1PtZP47Petx8f3b/q009K3M099gWDp3W5+muaVfWmR5ABbv2I2Tr+6zQrN84/8cjW48/j
v2ZZyeJ5H+un+SdO3Xr8/RL7kE2Dc61tPfgiXqfp+zg/ffCv2K4HTfKQxU/15+EFuHvrj75M8nUZ
rOL3oX58euUrtuwSKd8NQ3/Fjj1alxvmXBT9t56UoyD1NhwEylfs1eNVtOEME7CzrT/28aqq1pvm
5Cs26HFW/fU/qbeO15tm5iu26MnqiQP4fR5+WohfsUVPVjg4bBj7K7aoGDvPNp3uoh2+9c96sk6f
ssdg0+klesxfMH75uH56H+jHvIu25faDZ3z293F+GvsrtulJtnFOvmKXMjR2suthwyf/ip16uso3
LHSBM9t6wk/X7epz7Ghg3/cFg5+VK46A94F++jm/Youex6vH9YbYUZTktp6W87hJNgV3QnRl68Ev
A0LHKnjaMDMCXr/1+Ferx5KUIK033KWC8PgFD0j/mqwRBN30gK/Yqlcr8YAyXZVPGw8y0Qj9km8x
C9bepi/xFbtWfIl9dsBjUD1uesZXbF/xjMNsVTSbbivRE/iSWTpuguqvs4egyjd9j6/YzOJ7nKzq
9abxv2I/M369+muyKh9Wm2IG/Su29eszpqhubzisRY38K34LvgUihuP7YD/OVCF7sv0D/NXGnFD/
kk1NDWPj1HzJZg6qCLel5n0SfpqYL9nLWbzaFD2Iqv/2s05gssl1V6Dptx+8XqVBFa+a6n2wn6bm
S7auKLNsuIcFIWLrT/9HQ+I/KAj+o+rT9R9d2rYe/U/6+9sPToEo2VSXEzXnraf9GyM0m/aq6KNs
Pfp9Fm845wWIYfuhf6/i/Ocp31SW/Vv173Ox9l3dcdOf/VqLFv/iMV6vyv/+vwAAAP//</cx:binary>
              </cx:geoCache>
            </cx:geography>
          </cx:layoutPr>
          <cx:valueColors>
            <cx:minColor>
              <a:schemeClr val="accent4">
                <a:lumMod val="60000"/>
                <a:lumOff val="40000"/>
              </a:schemeClr>
            </cx:minColor>
            <cx:maxColor>
              <a:schemeClr val="accent4">
                <a:lumMod val="50000"/>
              </a:schemeClr>
            </cx:maxColor>
          </cx:valueColors>
        </cx:series>
      </cx:plotAreaRegion>
    </cx:plotArea>
    <cx:legend pos="t" align="ctr"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solidFill>
              <a:schemeClr val="accent2">
                <a:lumMod val="60000"/>
                <a:lumOff val="40000"/>
              </a:schemeClr>
            </a:solidFill>
          </cx:spPr>
        </cx:plotSurface>
        <cx:series layoutId="regionMap" uniqueId="{F7276A1D-9D72-41EF-83AB-7C0395ACB64A}">
          <cx:tx>
            <cx:txData>
              <cx:f>_xlchart.v5.6</cx:f>
              <cx:v>Sum of Amount</cx:v>
            </cx:txData>
          </cx:tx>
          <cx:spPr>
            <a:ln>
              <a:solidFill>
                <a:schemeClr val="tx1">
                  <a:lumMod val="95000"/>
                  <a:lumOff val="5000"/>
                </a:schemeClr>
              </a:solidFill>
            </a:ln>
          </cx:spPr>
          <cx:dataId val="0"/>
          <cx:layoutPr>
            <cx:geography cultureLanguage="en-US" cultureRegion="IN" attribution="Powered by Bing">
              <cx:geoCache provider="{E9337A44-BEBE-4D9F-B70C-5C5E7DAFC167}">
                <cx:binary>3H1rc9s4Eu1fSeXzpYcASALY2tmqJamX368kk/nCUmyFBN8kwOevv03bk7EoOaGrRrfuSrNbux6p
ySYP0Og+3Wj8+6H910O8WZcf2iRO5b8e2t8/Bkrl//rtN/kQbJK1PEnEQ5nJ7Ls6eciS37Lv38XD
5rfHct2I1P8N68j47SFYl2rTfvzPv+Fq/iY7zx7WSmTpTbUpu9uNrGIlf/Ld3q8+rB8TkbpCqlI8
KPT7R2cdi+9ZmYr1x+3v8O8f/xuvk83j+oOTVanqPn7YpEqo7r7LN79/3LoO/vjht/HtdlT7EIP2
qnoEYUJPmG4wzCzCnz7044c4S/2XrzWE8Qmm2KAWXPn5rpegyrs0etJn/fhYbqSEJ3v6390LbD0G
vI3//votPAxvYwDAByx+//gpFWrz+OFOrdVGfvwgZPb0usrOyYZH/XT39G5+24bwP/8e/Qt4W6N/
8wrl8av91VfbQP4S5FykmwNgzE4sTkwLmcYzxmyEMeInFD6mSY0xyFM1egvjLflJEG9JHBvCyfox
Kw+CMIEpqmMGAG5PXx2gxZgTnevDB40AnqzQGwBvy08BeFviyABeJfmmFOv4ABDjE8oxMw2CnoDU
yQhpZJ6YlmmaCMbBHqTfo9l+rHeuMAHtHZkjw9uulDqExeYnJsLE0N+y2BidmKZhIYRHE3qyQvsx
3hafAPC2wJGh62TgXgxOl1SHcL3YiY4Y54TQ/csyuF6IGMykCBbs177Xe/Xaj/Xeq0yAfK/csSG/
jtf1plzLAxhydoK4hRGm9NmQg2M9XrItpnOY/tYI9vco9QbmO5eYAviO0JGhfV9lcZUcxPWmJ5xh
bhjGs/s1+F9jsAnDCDEM6/nrOf4enfZjvXOFCVDvyBwZ0lflOvUPsWAT8M6QwZj1VogFcbYJTrg1
9sCna7Qf5ZH8BIxHEkeGsLuJP1xmwNb885bbQCfUNCCcGlbt4bPDlRgnWDcIcCUjsuRdSu3HefcS
E6DeFToytB0w3PIQvhkHJGEJBs7kjUUan+g6IxY3zG27PV2j/TiP5CeAPJI4MoTvq3hdHmAyE+uE
EB1h/YUY2VmZgRTDnDGGzJ2VeapG+xEePdEEhEcSR4bwRfaYPRzEWoPTxU2OrGdrDd702PUyDQwR
NhoBPFmh/fhui0+Ad1vgyNCdxR/crATa859HmLATirll4pfUBee7CENoDW6ZuZcSe5dq+7HevcQE
vHeFjgzzu3X6wd6U6bp8FOkhgDdOECy+iIEFf/rscKEUbLehcwoj4nVQ9X7F9sP+xnUmYP+G5JEN
gPNMfvgvBFrx5hAEinGimxgTZpjPhn0nncVOsEEgIYKeGZYRRfpO5faPgH0XmQD/PrEjw34Oad6D
THrrhBIEGQ6EnmEfW/shi8lM+AeNXPLpGu3HeiQ/AeaRxJEhvIg3aXqA5RySHlg3Ecc7nhoQ4Zwh
SsxRXD1Zk/3AbotPwHVb4MhgvQYO9CCENz/hxKLgpr1M3B3aRD/hBgNPnYwm7nSN9uM7kp8A8Eji
yBBeVsm3LH5U//zcNaDMgFnIMHbnLvhqFiI6lBg9m+1tj+w9Ku0HeecKE2DekTkyoC+yg6zA4FdB
jRCzXpDc4T8HygQzxqk+8run6rMf4S3pCehu/f7IkF2l3SECKguqADGsvvQlfbHjWw1JS25ZwIdt
z9+p+uxHdkt6ArJbvz8yZK/j9cPmMLVhMCMHFuQlBTkOlqGWBHCHsiL8w69+HTNP12s/xiP5CSiP
JI4M5zMgRv75BZiYJ4Q+FQw9U1376Oyh2gQRDO7Xa3yn6rMf3S3pCdhu/f7YkIV68UPwHZCpgGIR
bPzFd+wYZ35iwXdQCzaGdqpCb2C7JT4F3C2BI0P3fB0dIg3FTyBjDEQVVOg+fXaqgfAJRyayGB1V
A03VZz+2W9IToN36/ZEhC5zsUN8HWb1DZJIp5BkNCvC+eM1jthKW3yHLaJjjTPI71dqP876LTIB7
n9iRoX6+lnJzgJUYQmEDdlowDqnlp8+Ov6WDuWbAeFgjcz1do/1Yj+QnwDySODKEL9aPUMJ5AF/L
OoECTiAj6UtxyJ6iPt2Cyl0DjePgyRrtR3j0RBMQHkkcGcJ3wHMkh0CYnRiEW5zilxrdnTkMuzGQ
aRmA8bY3PV2j/QiP5CcgPJI4MoQv1qU4gJGGbY+cGiZM4JfagZ1VGZ+YkGC2KB8RHpMV2o/vtvgE
eLcFjgzdFzejrPrDWGlqIEP/q/5nD8SwYY5BAdjIs36fVvtx3nONCWDvkToyxIfhnGcHKdmkJ2CN
YU1mL47XeFUGdppbBmVg0/dlIt6j2X7Md64wAfEdmWPDe5NCdd9hqoD4CRroakpfdkSOAccEinip
RciQqHhNeV28R6k3sN65xBSwd4SODu3yAXbgOwfoUkB0i1s/Uk87thyCLoY4VPwYTzHXqOTnYjNV
r7fQ3pKfBPWWxLHhDBsjN+WmOwDS1olFLUqJ/pbnjU4scLwtMm5IAVm/yTq9gfL4ClNwHsscGdKX
6/ww8RWG4MoAyvoNjgS6jgBFosNivm26p+qzH+Et6Qnobv3+2JDd1OuDdJSBIgALU0b0F3ZkJ3aG
fCOCfTPG2O++nKzRG+huy0/Bd1viyBD+DD5PdRACDPa5MSjA1t/auf60dwYyypY+ip7fodJ+jMcX
mADyWOTIUL4VsFFdisdDJKcI7F7WTUJecsq7SWVIbsA2dkg8jojOdym1H+ndS0zAelfoyNC+Wz+U
0H8rVYeoAmInJoVOUQZ0H3j6QNi0vWMKnRh8+AcKDYbPyMt+n277Ud9zjQmw75E6OtyHLTXQ4OwQ
uEP1l4mHhjMvGyrGBQaQojR0rEN95y5T9g6t3kJ858kmIb4jdYSIu2LjHwLwp+wFNaGf1GiGIwrV
uoTBzqqXobDtfQM/+WGyTm/DvX2JiWhvCx0h2HPoTfEg5EP21zv/Z9o7UmC4KVQYPJv0namNTwxo
cWkyMlrBB6h/aDQlzn8b7t3LTIR8V/DYYA/WB2ktBTUI0MsRJjJ5q8cQPoFZrjM21Ou/pkbvJmv0
Bt7b8lOA3pY4NoRhGp1m66I6VBYTcpgGhin89NkTamMOhYOcP8fiOw7bu5R7A/E9TzgF9j1iR4j9
eSXkh6tvQuaHWMdNiMOxBWQK2Pjhs5MBgVIjiN2gTeAe6/5O1d5Gf9+FJo6AfaJHOAouoCPxIfB/
SnlSKC588dZ2AjagUTHUFnJjz8yfrNTbyG9fYiLm20LHhzbUktrr8tthqkmNwV0bylLe3gRtcUYM
BK2Jnj6j5f2p1PUd6r2J/Z6nnIb/HsFjGwNiUx6EdoUN0pYO7QLZM/2y0wIY6yfwJQwPtn+5n6zX
G6hvy0+Be1vi6HCWkeiyakp09L6u/EOnOQJBGf6rK/+esM2Cju4mlJmOJriYrtNbKI+uMAnnkcyR
IX0PRYhw3sIBgIZ907C5B5z4F3O9ZwUf0qBgzkcr+DtU2o/z+AITYB6LHBnKd1m8Pti+adh/OVQ1
7HfToZmgwcFo7/CrkzXaj/HoiSZAPJI4NoTVOhUyXleH2KZHYVuHDj1KrLd2ckHeWx8aE9FRUhQO
LHmHVm8gvXuNKWjvSh0b4kOD/kPsqobiQ4IxtPF+ccTHTDrkTCzIqQD3MmbYJmv0BtLb8lNQ3pY4
MoTvN8H6EHtAgEOFozQsaDX2Rqg1nIwEgRacwvDMvo0X6Ml67cd59FwTcB5JHBnOX7P4EBQKnI1E
oesF+FijVBhMYPiCIuhes+1iT1VkP6xb0hNA3fr9sUFafVv/8z41GerCEfSJgz40T5+dLdVweAps
p2aQIBkhO1GfN5B9LT0F2de//x9A9ucqbj3wcNDZf/96t3vSmO8/pA769FoWkF77HWioN7MQbNYD
3PexXq9P1ntOdu3TaT+qr2W3nvH5EX/+Ug5zBN3bx9P9OOnPXav17OmMwFcn1P3826fHh7MNR6Iv
2cF9L+zlq9Xj7x9NIKBfgTpcYyut+PotPiPwt9QGcqC/f9QQgk5hQ1NPHdrnm9DHES7YbJ6/wkB7
DuWk4GAzGAUDm51Cj//g948GhE5oaEmlD9BDZ37ww2RWDV+RYQsfXBAS4AwSodD75Mf5jddZ3PlZ
+uOFvPz9Ia2S60ykSv7+EcE98uefPamqmxwWeujDYEEURyDlButF/rC+HVpewK//j+pJlhdV1V6m
DeGzuvGC3M5ISCMnok19Y2lmdxq2dRrNdD1SX1Vm1J8iQ7aFLXlafHn19vZpA7zAWBvobwttQWDD
AxzfOKxRr7Ux0i6PeFDVl7hI0aUf9alnVzSzAqetVcbtujGqr7TONWGXCVOFU4Rl5NteL6nhQL+g
9JErpV/BNYLKxXGMPvWmxtCis0xvgzoNtfOfa4xhY+yOxlDaD/viuUmhHZw+0ljQALDt1CVpTd93
rbaPP9UQFZO5ol1m2nXXotAV1GN2T61O2F2kk0VSlx1yyzpTj0ErJXKElpuuhMM5a1slgV7btDQj
f+ZnYXAdVfw0kTyQLqwM/LMMirMobsx2JqRmXYgyqJPFz59qFwbonKTDwWxw5gMUzjw99KtBQTvN
b7Q8lpep8vjnzGcI20aEYWjkadVeN23J73IPxX/8/LbDWHs9FmGfCxwKRQmcUAAbWDEZ1Hp1W1Nv
fSOXfnqZsh5doiioLlNZOoJ5weef3wmmz86dONR+UWhXAAsqG42zPDW6viiD7JLlurEumqyMF55i
HbajPJjpRRX3DtE7ljkhMZvkV4NmGBTbDwoDBRqTGXAYEnQRHN8eGBUR+GkiLmkRmeskrMx1FA86
mH0iZ1aZZXanA/SLJi4abBdRRjcq5nLV8M44by1S6g5pwixyQpomn0iZY+IGrOs2uVbnrq71CXVM
nhnl0iRWX9k/f3tD59mx/nQwG5CNgTNUwc/cBkq3KjM1TU+7QJWXrEWppG8jLVKpYZOuS/3TJhDR
N5/x/Lzti2BuZUYrHIxq+l3Rvs+cLvCpY2RhvREloY+1mQf09OdKGuYOyMQgMIgGChJyhSYFt+j1
cLJKJvQyUOQiNIrc48xVPOgXrWoJn6u6qpyyLfSbOunMyg6CgDolShcSl/kiNnLsRHGR3OaxmbQ2
jRv/SxMm2aqTStm5WeSfLBkx1ytSz6myMBS2UCRsbC+U6WWTa/Kq0Hoy833EQ1vrvTRxcB0kS9NS
8S0O/Wu/S0lrxxUtLpVX3CucaMS1agwvUnQYbINR9b2tNyw8jwOTffX0yjgNLIbOe7+tudPogZHA
GRqdWGms7BK76VjvosbU3D5sH3JZqLtK12hgN4mic08W1crwML4vAtREC49qSNh9EHnfoMdLWdsi
LbQ/q4Qmbp5LvIqyNF+hgsePos4tmPckie4E91pq14Xhn5ZeWTkdvIcFMjC/KpqknRlNWcwRalE9
i+H0N9+pG58VTo0Db5ZIUrpVzq8CT/N1F6FMLWGpwY2T6qFlM0XjP9pED85wyfM7kyhzUfFQw3Np
Jf2aWVk5k3ob9vM6Yv5ca1t9jWXcfJd+nptOj5Ve2amPa3/eqjCDydE0s86vKzYvMy9wY0WSZQo/
tWEvbZnBi05qaocyDDWHeg21aWa2vW2o2HOI0tJkUVrRzDeqTr9pCDLgvONSj+0QRpKaE9VwuWgJ
bc+tqO9j76ZqCpUkdifiLi0fAy/AuP8qG62lSWDzEkx59oC7JFSkhJMHqyrXL1Wkkqg95aLoFzWv
lLdKSiFyO8RxdqdTjazCjpDKqQADz+4KnbcAV8KYm3oerIcqjppiZkWNrztlrJB3FRS6RbNl1NEm
cLs25urckorAiGq8DMnGqWAtnFtaEHpXNUwdy3cKljMYcCSSyTyNRcntuIDFy5u1tbAczQPP1bQ7
T08NOEzQSxIn4FXjzZuYxslMeuAVzM3UT3qH9SZYzBRHRuUkQanFdi07X15LoSXJLPMF+65VNRW6
q2dYLYTBKnZpap7vnaaEKmqGTtrKou+WEnJDZTDL/YAmM0/WfTHnpUzFvIutpFvqUia5Y+IuFg5t
zS5elKIQmgOw4i9anvTIhbr/KHHhv7p2FYe6JuGVp+mXMEl4siIlV/EsCpR121eKkHmoZRidBU0g
aWrTAAdq4ZV1nt7BYkxOQ7/H0bzKQYNZpmK/nzHU9txhYZc3FwnrYGhrMFVK10OoOi2Jacau7xG/
cmlaA5yCSvBP0j4k/SaOoDmHy0CBxCVdEhQrpAtj6QsaWQ6OooK4IhOe21deZNpaU+b8OvSa0HCI
KMLeTvKw1850LzbmKPd8E9TlNJ+hLuizVSBQ488ibgSNPfzORlzwFIaPTwqnbYTW26oV2p8ldOLs
NFvAPMKXqE9FL2xWGxq57+IGV5dWzrvMTXmhLswqhSXJlzQCAZ4QeFueCFD6tUdxGpwWXRK3c9mY
vThDylf3RojNtdl6iWczBIN3XqUtJTNp9QKUr1CYuDEpIumwxpsJJIqvcdOAZxH6YX0nTav5lpcB
Wda08b0Zi0wd2ynz4DpmnIXtPC1rdNm3OTFupDLRPVIa/KKxNMkchTrazmqchGJZthg3q5T6El8J
jfLPqV4MgzMMC7mgsQzkddsZijl60QA2QZOCYpkEo3sGKxj/TJgOozsBK1m6sDm3zVZKcg9fh2UV
RbeYpdxYtUbYVBeqVYPzGXTttRlpVjvLmgRunWV9X9stTlS/0CM6PPygegP2CfTKE3RpmCk8RVWY
8KqCKIt6h0c1TJ089iNxk5YUpnxZgVfgw3dgU7FKg6sCGV2Z2iQPdIC7KdvqItGCXNpCr4p23sLW
UzLr6gIPRgMmkwNPBAak5Wjwk1WafPbgyJFTVgvBbBaYEYyLzrfWTUpAjbYMu1uiWl2e+eDmhmdZ
nkbhHYPVYiFTHV0W3C++Qj29VdiBEQh8mjGfV2dekPm125W0aMDB7cgix/BaHZ0W3UMUR+Z1W0k9
WxZ6V0dfGivx5TLxtOR71/PBhogiDlyIAxiZCdwFcp5bCf+i6V4yT5rcL2xqgJnryia4FZmSZzyJ
QtM1cYl9MHtwrJldB5h/LkOt9mcxTmGa9JpH+MpIM1RsEjDI3Sn0YIe50QwWexaaGrzRtu7rGSwy
TXGGygpbjsdjVcNKS2odXO8i/LPkNb/XOnDTT3uuSvSoZNpJO0GI1ivRYLhUm6Cgd4zGt/xVDrA0
jhZxa95nda0u2o7Gd2EtC5tRuTSStjaXfWMBOJGOZL/I4yjLLlKrNc41pRvZLCjSpD7zuyYPHGbK
JLgHT0Q+6jwFMwKmU9Z2FMhG2rypWQGrQFfcxX6BxB8o6wmr7R48sO5TrojG4WLSK2cB1SL/VPPy
5lvg61rtxFRa0UpwHd20UvP6RVkVUsxEX8EgFViF5LqN4t68TKw8ju0ir3XrwkCB0TodeDdy1gQ5
oNawVPh22dMEbIeU8Qy1pC3dOsasXPSsgNEfGa1P3c7rdOl4ubSKL43ZofswKGGswUrHP8NYT+R1
ylMEBhbnPJyzJLAau62+YlY1DNlRVNNPJk6Lxm1MXxkXhhez+rbwJC9hcYcRPcsFATQhcOjac0FU
lJ3TMg/INW712Fp5bcbhudpW8y+iUssbN5Ee2Azwxip1Ecce6F/yyJ/LgEWB27S6vuoKA+Z9Z1lU
2IYX0Isnr/SFu7h+dvKfA/CHLO9K4Qdq9Od/7rME/vPvQebHb55oir//uhAPZSaz7+qnv1psskvY
NSXHP9q6Mtz9RbuBvtj6Y4dKeYMsud3IKlZvfPk2k/Jjj/PANMCOaGJCovCVE79Dp8BCrDZ/8Wvb
Qn+xKUBfQ++LoRZMH/JUFmShfrApwJkAVUahKzAlELRCOPAXmwI5D+BNIRCApjhQZGZBvPIXmzIc
h2bCcUrAzRDouMGN97ApBMiX7cjIHCJYC7gZKH+A41EH/V7HHHXeSvCIAnIlW0N3+rZeNZ1RuCgk
xC6tYp4RXNml6r5Q3BNX+sZDSdi54l3kmoPRC1vPWKgyOFNNptupnl5ooV7arM8rt5X1ZVta0jV4
mTlZVn3rePo1EP4MVuLbyAgXaadOMcG3RZ6Hdlh0lc1zLO0S4fM0AZ/C1+gnGfHMiXmiwBx5n/os
/GKCr2XDotU6VptcmT65Qo0140V2SuNiFZk9WfW1VzpVhJlTB+0CeJkZZvl3Iw9uq8Y3T1PfW8Bk
+MZEZ3PZf25lktkRTrBNwK+xLSNJXZJ7jt5mlUPz4HODqj+jtjacIAqWuMpSO5e0tJMAHGRVq9QR
ObmMkuI0jgxiN2X5vagDZLdappw+ZlciKXOn8Yur0Kzz0zZRYEOE57s0ySIwk6XvcN33LqWV6S74
rL1lF0b/neE6uqwN+tALeLm5lwQ3GCyUHchyEyidX4RZvDK5BhYC590iSCW7kqJNZpQ2gFoVGHbp
K9+JkrYBryUN7DpE1kLUrW9bJRh4o6X+je4TtOjz0LcLX8R2khLfhngks0VC/JnexeGSkDaeaULg
RRgMTEMPcbPVwrqmZxksjx5yUdvpEIZKMTf03JsbDYlnZaLwQmUkmaUkPEdpcdar8CpK0Up1fu+K
hH33egimQpoYM00K4nZVF86QR7tFVPnxTA8DBi8CdTNY4vhChZZvh21ZLTiG1SXxS6AOwC+7TRvK
FlVuBjPYDB0udd3z3LqOiS0J0W5iKNy2kx6etGgtyxaWbs2Zrykn7Bpmd5mfzzTw9sB8R+LUlLJZ
+Di477C8rio9nQUa6+xM5XCkgwTfJbAgwii4cZpzSWwfDQxZP7wigdM/G2mGn1JwbW0Z8HTZVUAH
4tbP7NhL0ZXJAnDf8t4DE0/hHZdatWQN2O2gMRpwwCvxGCWC2npIvVntJ9pSV+G8MuOZ56Uc4mKI
axOeljYEQ4nNjLCytbBhbpknsWPVoXXTo/YmbKtbq0mimcQhEk6M40sIjtUS/KfvKu2/KVQHc5Wj
yo55XF4IWAsd0lpuXBbWyuoa79zSaL1gXmrcYq36LHimNFdXVestAtwiZIsqf2hAK9prEXiTYWxL
FhQLTXT3SGvQvA18y9Frfpom2Jo1TYdsXlcrOEK0s3OgUyAW9GciTbVTzdCXgpBPtQyVI/3gPinC
Uxqm1w2VjqbRC2n+6VF8VmVW/UcXxZvGUuetoWl2WgJLyZqqOa8gEFpyrkJblCKy/Ug/x3C3IA/O
6tr4XkDc4KA+vtAbHdk1p597BrSPCHtmK5k8SgpcEISKqyzsboBeP69MATxFUBM3TVi2iAQC37gO
TLftstauBaVA5SarVOLcoZKY864DCFGRXFWafxe33p96Vn3NDTAPTM9rl0blmWjQuo0sayYjAjSD
zPw5qtACCQJcmVHO6lBim/YosWNZX0jWfKmg6NClmnHNW8rsLKHpipkm/FLpoV1Fce3kKjurQn0J
Lkbq1IY3D/WsuBJcdXYIYaSttdxVLZwS5VmRbdbChSjf+hp5VWLOsrS9SLF6yAy6SivzD/AszJVI
kB2W/TfgQyDqz9olPHQ8DzAwFQnq3diil0EIVoZnmo3Lxom4ltl1hpZaYS27pnBDLIA7Es0N8Pvn
MZbE8UT8TTG+pCm5RH6+0Ixi4UO0D5g6bYzgb3MdMCEcKarvUtBroA/VrM66lUqMYFbR2NGM6AYi
NA3WgsqJSXcWqPgm4ZqLRHAfA+UcWOmSVnHqVom4j4VywD0u7dST1E66fukBAyVih+myhQwAdgjW
N16VdjasY1q3kAxLdi2SKHZ8K73VRVnODuJB/e/5RgR8hd9eO1lbqaatjYu7PtIg/MNHGrrMQPYI
ckvA0tKhW+sPH4nAEYOUgQtEwEt5Siu9+EhD60hoXmPAubE/pP7ykaAEDEhAk+kIHB446tt6j4+0
kzCB24NjBFW+w0UNfeQhmTEcQBx6ZX/Vqy8Fg/ROr35BTw9X+JtdH4rEoZCcgZsIzCNkEoxBg1dp
hD73rBxoAgQ+mGaXOtAHwpbmY10vXwHw4sq/zp1tP8nufQaW/NV9Mg3lRSlMWIjy2kHleUMff34D
vM2z795hlBDxUZHiKoAnwQPvanyi/HumdQ7XrngF8SvWHVl/zatlJa5V5gFzvAmDue9f4+xGpXd+
k9uqOLNMfwarj+0D4xDeNUngtjz5xatA4Mf/9J0PXPyrd0GE5qmmHN4FmXl9AqHjl6oWToaMq8YT
tudFtui+U3CtCvi/zBLOz1/VUGy4owBCz0eiGrDpf5SHS5mPVK3T7qqrQ4EcxMv4PDIwUU6XA/3v
8FBPq1XI2GnZStusmlsUN5bdpBksIJAwcUqzCGycV3o9V75+2nBoQrOIkz9wQk4bTwfnBGsh+tSS
JFyQiIfM9piygVWalVa5yqvOxjVQNapzawVWvb+qLTFLfMPOCs2uLIi1W36d4Gtw0eZe9Yf0YtuX
99JnF0TFdhlZbg0OJW6yFZCIDu1juwtzNzLvIT9buBY4kZCxgpeInApV51SHMDxfdsUfMgTiWYOF
r0mBhjNuwvAibJNFneLsU2LGwNxDHiLj98qwXCM07XDwVk3hG64hCubqDJzFLIq/Kg28oaQvbW56
0o184/znCJFx0guOWHo98ceZ5kZw8Epa2V/pC7L0Vv25+kIWbFVeSRudq2XhlDPmcqebE+e0PE3m
mdt+1VbRXC30BaQ55+FzKA5RNaT790zf7STn7uQapYeMGJIvyTBks2gFUUPauKW0i3mh/8Ic7RuZ
r83RyOAxkfRxEMB9tNSO79vHwndE5RjYtbxfTAK0/YqfH+n1JBilNTnMmJJwga8C4oTXUetWrVMC
/y9nIXf8q+ZXj7bPAkK9KMTisA8fShtGFjCxkpbSmOCrJpRAcn+rteufD5p9BvD1DUbvTk8F0Og+
xleydiszshvNkW30C4B+dZORleUtt/qOwU14fdYXp8q6x9afP3+OfUvS6+cYmccO1uqyTEx8BTQE
eGqNrVu3PLzkQfv8LP/P+KX/X6mjoSPqq1e+Qx39NwYi7HE9doyexX44RtDwZWi2ySAbxAxCYSD8
cIygcwCFqhqdwKpJ0LASv3KMYBsDNIQyhrbLUP38N3kEG1VNg0DRHTTghf5BGL/HMQKmeGsNM8Hx
Ah7KGnw3cF3g6JTR9GWtX/CKBdVVKFR+ymJuXJRpe8bSuHDMqvxsJYlbhCpaphmN+02QyUK7qboO
AuheOJCZim94kKe2irob5RunGdAw8yKWEE71HZSUREhbiLg2bCBu5n5UByvIW+qOn3uGDcyyHzi8
LtJ5QvO4uuv8/CsPuszW4BBMm0LyKHSATDJO61brT808bQPP6VgnTqs4cjvsaUulld99nvZQzaJ7
iw5lkFdHEYdI1a8/55yxMyys6IKRFNLG4i6vSJDPWNLp8xwx4dalBjFazVM3gzXLjWOBbWxxYJoR
P4toqWaFjxxTYTU32/ySmUFt1yTj8zruWxscEMhGBWmzLBt5iaTkjkqLr2Xjn3eomQV652KJL3TD
P2t6FdgqzCtbAItug1PgNJWsZikgbPuepoAfUf53r8msP7s+rL15MTgHkE6HTGcg0ZKX1W0QkTv2
5FTkVqCpGwGEzBIS4k5aBNayMDuZ3llAKpV2UHm0tgkFZo+gpg5t0zO/Q+DYrIZteIsqjSK3T9Lr
LpSXlpGfpnFwWej4jCltnsnmVEssN+uBpS5S4DJ6xxT5Y5PiW6H416c5809bj/+92EqHlevt2ArK
JCq5YzuGOOJVUAV109BuAkGNHJTnwKTfsh1wQrPOoEe3CRsjwAr8sB0cDk2B0j84CIdD+ASR19+2
g0G8BTQ1VDvBRSEW4++xHZjCTV75v4PtoHAQmgEt60AFOC16+P6VA942ng8pSM+4ivqcdqveyhLy
rQ6I8q4gvUWSBIhkDS+ZN3AAVXDXGeCaRjDcXAgxdBt5lrCh2iiaVVwZrjQTfak3/5e9M1uS28a2
6K/cH6CDAwiCj5dDjpU1T6oXRkkqARxBgiAI8uvvpjy05G73Db87HHZ0h13KykwS55x91t6soQnZ
AMqvke/esvIUYs77Oow2awPgaGqk56bl2C4W1W01YKfDC5337UgSw7BXYssKPSqGYl1PXgH0ojao
4K3JhdJNJqg+T10fJ15UvhiP3pVBt6dNq1Jps86s+3LQc2Lc1k3qSt6tfH6WVB5HMoZJ2UiszLUD
nRebLihV63tcqTtKBxcPSfVpEjf+re/q5jKRVe6wTO4yv2gkOI7hW1Dw96madNo6Ua6Xj9n6YQaW
JTdOwLOm7S7WJy99x3sIcWiyyQh6RwVzn9a9J5JAOmD5WKxSz9hzsJZV7qv1Y2LFbpLm7MXz3otw
FPVyPwZjroCbQDk0UOn6OlUm+NCQTeq5WJPYTbAFuOogq6whIJSJFzgtIp0aSC9s02Capj+0EGWs
rB4biDRad3e9cs8C4g22V9iBhu2dwVc6bfqOa0vV7bXjsR2j/ckL28/dKJoU9OEV9MMrEAldSqCd
0hMLfHXnWWjLb5VquJ+PgeTdnbPqpd+3HvQc7tbuK06/WCbU1F/8MIAQqWasCacv8Sh2kR/zdGb4
1+U0f0BVHtNqtHHSGnvQi7gmXcFyZ7bLbtDi2+xARKrY8om6GEVWe+cZ7w3c2smV66fSoD2l4Rjk
ESdfS9+eZpcvb40YMDXqHqRY0KXMgFIK3eFQheoO69pDpJhzBX7qcSnxtlCyhoRzdlPYEbVQrN9I
GGaT0BDrahrnmi7uYY2+eZUkgA/0s9HYPLc9+vAGJETN42AfOiXAJiBivRdmCoxm6kjxhdfDmjbT
su7YXPVQufned8ZP5SwPErdN2rHOJiBBoMWOa6551ycetqx2JkXKlHO7FM6r0u6JQpKAplc9hYXA
RO75UTIWS4K7OcPe9NBEdZRSLU9dOM6JAOUyDSxMBK2/jULf9C15NyPE5GatknqprkEYnvsAJZDK
+NwByUn8IDBphZW4EqVIKm3m/WCxbtVQEBI/hku0Zp/WSOZtEx7dkX8K6qB/WB0qEkcwwGh++BQ5
4sH6TuLG8+sgSHnsRXxc7XAuOOvPhRxfKXRrQJwPDqVHEbAbJx7vhEs/erJet6061BLX5kqXNeu9
bspAtN0bA90XEACfyr2qRJzXNu4S3D30bTTjUfjVdF8wIwChNTvsVs5Uj3X+T2n7daWKIfCvS9v/
Nn3Zffy5LUZpw0/93hbDZoCwpYBSd8s3Rvv7Q2lzsVPFTBKGv3Lo6MF/b4tRv0D8QBYMQsSw0a0g
/a4XMjzZEU/2QxIfHkODAvj3CPV/4zhRzHywyAHgRvye3paQ/mNp4yqaqypgzY3jDZ94iaKwTs1n
bwmPjdd2SUXXdFRTHoVt4ppotwb8Kl6G65m12ETM7XBsy6HF4eqkKpr8HQ/dnSuDh7k0fs4ibCQN
X65cXWTUkSC2cDaUDMuIxmuuRDg0qXFwd9bje0uhnEwe+Vr45Zj2TstTHtqzZeYr6tuQsho9JgaM
nC4mTLylW3N3chqcJKHFLY6CE00xJv/FpamW3bLr5HLrLzimfN6cJxsGCaiG1wCEagbY5Kt06Qnw
cp8NFmcKN2ONHV2QhAJAbxfFt2vsvZhixQ6PYVEjhDMnTaTxf2lVpivvfeg5vEii4hhwvVsiKIQD
cA9oTPZ5Ffyio+7cF/1Z4D0lcimxf/X9+7msM8N5m9edfyk8/7FYGo0We2oTCLrA00cDArZGDSQk
OLTBUqYF619YqJyUugufeBqaoeQP2q/6NzBWz8tK5rNm400f6HHfeDNAykG9WQ6Qpqv3bQ8djkyh
TMiMcWMKCj8RBbsI7j8HA3S3qZxvHGTn53U9rZkfrjxfYzBMXMXO3pHTfeCIr2FTyD14rtQDpXWW
9F3bd6BsO9LT93EJ5H5SWKhOI89VP7fyOfZE99C4qMkfJV+/zlbcr4GLzn/qZZTUSjD2jp3YdYHr
++jqzj1Y7csbXxXxDWmL8bTERUpiDA1zRA9aLVXiCrdMBYmX66BascMqZTvvQcK+zNCWorIVl8DK
D9Ax/sGVPB4ABKBOJf+cc7+ecziW/vqcgxPnHYHR7+N/OOrwg78fdYiSQUj79shv+BvwD0zYfygA
7i/Ik0MkxfcVR7idMv866sItOhiP6gAx9/NRF/2CExNbExycm4MH24zfNzi/KZD/zYwDG8+fu3iG
cSDGxjx2sbzAgz9+Puo6zrBnN0zeuG7DD2in94LjTkPzeZ4is2BM9ccrO/lyH7hrsI/tdNtVBARB
135WxJfZ6IyHZhFhHgdqSflMg6QiYkjBLqxJ5cx+JjRzkmiga4bmrL0dePwiwlWlRgVBat31DOTy
SoXkwGQMIsER+2HpXwrGZboO7LKqBTeJrM0ByNCJt9WQ1CQ8rZA5sWGILtQnTzzEaK1LdhfPUZ11
qrzTrnqHFw5dXMifTRv2yQwHBJjfyKS1WS+0i15sATTUC4LXuJEv1JpzXHvYqTSPTtheNBrxFBTg
U6cK7GI90NzFfI5Wct911c7jzie/tCkf+E67Q4R60F/1kXz1Gb0ORFslIrR7Y8MuwUXxrhsGudI2
6HsinZd0FQm0kyYLlKXAnYclZ6ybcmPMAqC/vVGYEECXBwcp/DKx83Q9N2ZK+Dp7+7DWu4oO97Y2
VRrWXpc6/nobFPSLr/vHelp2QNnaJODdrSV0t4j2WIIMTYpovKVT9CSGguc9WV5piaO5nMM+A+RU
p01Xyl1QLiPmswhE0HqnbBftPNGcrNd8iLUFWaj9JyqUBxLSL1L0gTeVifzrpogOlvGH4ZqII51w
MM3sTJeqSpGytCsjg5N2APWn1yrXgTagANmroIBBJuybkkaWe9TVLqlb+aWOqMwqjdPNH7xdw8D0
ueCN9HIosWhBgak+KxV8RKH/AWCJH/hArjce0pqBw8Ni2rxaGvIchDXQb4isqEbYCnXDqQ3psQk9
QMZipxivdx7483yx1k99Tpc9+34Od+Gk89k4d2U/f43XelZp6EKIctWwXwcyQpcaTsQZ/HQg/SGm
UiTSLypwwxHL8JjDg+/wbi+VfQcZ/Vi6MjNjm7ub6IVLF9dR/CIDE6Ri0OYBM8yQlzG3eR1hnbOA
/gPpMHk5JrcqCcLmPjZwePlFkMC/c+xielWY0UvaWlVZwyvcF1Ez5azqvV0wSB/1kro7pwma1AVi
eV787q5wxJeAz+ROF+09U8RNNjfPscdUmwg9AyFdp3wkEsshd72REndK1VqbQCm7LaLwSrSum/Vu
RRJa4QPs6JvW3mmUdyUhfaIUu2WsLY6WymtbQGc2ej7FvvxKxqZPhqV6b0nb51E91pljnTrrV1wf
czjA3zWEPBOrsw+WtFrffB58Neqqqo6jnPNSDgumfFwGpi3el41v9pfhUqy1l3SB82B7cug84UCJ
FM8Orz/qCbeMj+VaDtPFbozRhDltn8RYJoATbR7hm/kWGzmn3OK6C5poT2THcwK7UOL0WAkbPnRX
jm/Di9e1j07ZDtfWgEOHU6TKo3gtMrsaJ52KQqZcuRLQj7kYVbME/EoFFqd8EApXc0i4d1RNJXJS
4BsHnQ6P17LeyaKnkEUxGY2tWdN+ce6DQU0AoHBjiXUoEsdQuFPqutiZRVeZHDQ5CHxfhohTDTMH
OpXhriXBuZHjg1u4j0VYyszzzalALnkerKvF3lkqVd301lOvdYzBLqdjR6t0nKrzNBmIedoErb8r
56KDtFuOn1jMxW+rt39kvQBF+q97gn/F5/97U7D95B9NAZjSbV7BpBOFqL9Y3vzRFOAp1qhY4e//
5qemAJQpjLuYqqHWY7n54/zzqxSHySiIsWhgf6cpQK7tn5uCCJvT7bdDkhKBiXhrGn6Q9oLKdOMq
7XxjG+amZCr7XWBElfeVSdvI6t3o1GiTbUjMJ5jUzj1kmD2eYRJtxzy6cxhxsqJj3j3nNHcYxqR2
6aA1uCXcJHp9Dwt/vYYFCTTYMOZRBU9D3xQPweTQS2dQJRcTDLseR/o1zIx5xcWzFnM+Yzu3K2N2
ApZ4Isr7VtvleRbtKSL1zdAo1DH/EJeiSuIKNijQj31WNR722EvQZNYlYwoDgUhISD+qiDzByfFW
G+djNmLIomJpYVtZbIJH5X4d2oUntetca9dMmQcPSzLXcwf8jH5eBKmzOKQe6HZMJmbSZTYt8lm0
8s6nPId1rE6iBe6KYdIm52o/8Qsvj5Bj7oeRXoKm+Fgb7NC7W+oBEQ9UfY2jfbfa6qUdAqCgxRfR
hY8Gsg3k928LPKpZ2fh3cN0tCZtWF2zh+CQd7SfLpCHbNKKBC62xyRAHQ6bo8tByHWY6mslhZG6V
Bo1QOXCEKFklmre29DDBFlWcO3qjezU/1AL1AI7A/TQ51X3oNX5mYQxLqoVUwDxCk4XSCS5qqEtY
12Y0UczrT6uj7uVom4Q40t1PdjxC0C4zFWhgpFMVHqYCoPFzBwyYX/xxbV+qMXRg+mqHHh8fjkEb
gMA3tpzzLmTf4Dk+WGFuhFY1JORRRxddwAzzpuD5+do2MnKy2GviQ0m8YheO1LuJXLRh44oxl/tL
t+vJLC/t6pdPbGbPSpf2gD76rQZUiymxL29mmIYyp5/Uzl/YY9zNx6AN970qpn0Dm9FBed6TMwGI
ndw5yG2xdnsDI809ytiQRKPf3YxdnA0uPssAqJ/FwuoRV0CUAhiEeXdo7C0MT2MOR0H/yAfzecQD
Ic5R7ZuUVuIDeq5NV0zkqPvetcNkoRN3svjoQy+NgIAc1FSog69o8zDQobkxMuoea3/RULdKAU6w
f5RMQ5elDlQJ1C1ehgdLuzqZCqeCe3iSiZbLzawxLjpoMNO2lnEelj5GYthedktZ0JNe3Hdb9Okg
5me2kB79vAtIlvdVxjFPgnklztFx4vmtruYZm/ahyEqmOyiVsv5SByGafngQQYiwUz0LoIarZrnS
8UoyBR4qoWGsNiNjcSV4wC7MLGCjoxgyOXCiSJa4MyF3wkPEbKb9brw4bJXJ6NXQ3mGM/EeL+83e
gHntr+vR/7bvX6X691rk4qf+qEXfBTfUEzzz1WchULsfaxEEOpBzUHZ/3lCzX/DsVzfA8w6+b5J+
DItgv/geotRhdP/V+hD9nVIELfDfShE2WS48DpvRAtuuP/EYsg/XOlyK8cZtgscafY8/hueWjHe1
RYs8b60Rd0FWe+RQLUuVtVv7VGyNlLZTkbhDj7t2AZwND+K9S8Auiz7ykplomoyrhzlx60Rj/Fld
JEXeoJU+xlz5SS+aB7U1dmsnWeJJe3EGNH1tB0V+3hpBx4ZFFm3NYWOgXys9D9cuOkc8lTG8RGbt
rirf14mkPtYEBWQgf+s5R2yX2daGUgGWfFXdo+gYVs9br+qq8TigeQXmxQEaw6gYkfYDdvZnWIGd
TS0/SLS+ztYDF8N4WbeueA35ZwgFVTKE05IqtM6dOlbelbe10+JdBamO+UFKeBVmM4GG2/rvCCh2
1jW2zvx17PMebfq8Qoq0Wn2d0MB7up+xLMIbUqY4jmjyFyfqUbFyZ72a0P9bwt5CzANyGwziBahz
jFlBcXVbbsMDMQyhHta7qanaBosp95iLrySIxkRzPh6jbRCBwffe30aTGDOKxawydgz+vm18KT3h
7fxtpBkjg+GGQm7tC6nzZht9inr2wFmyKx9T0TKVJAmVyCrWYSgeMX1uI9QQIJGAjaiYNIZVnMIf
mPNt6OLaBdeMOYw7skpwEu0HtzqNdfRI4vXd28a3dqkTDWmuMiLOpC9qMG0K6xZMfLNrfCxNhlPg
4b2smApj8HlpXXide9sTQJCsgBzAQHb1tbxZifpSSiB2PkglXODvsSxlomDlOInae1WDuSjYRTIH
ZoCsnIMPzPofJlqW3agt5qeRFQe4jj+3uEXhmPFFWgNoQPc+PYQ+H88tc0+mqj71awySCFU9lGIv
Z+dqWBYsE0GJgS0svETWxZyocbzW1YrbxzwKXnweRMQOXQCfd+W0D8UaiMT608sQRMd6QE/AQnkC
MNBAqqXtjo3dkfLwSQlXnOCYoViSrg/4M+erwYQGtk8psYyiKv1u8TUKXm0v3r48iwHPpQXNvIK8
jLKC9LNOUzKOXXcafRBj1gGTL5ZyAD3fwG9jR/nK3YIfOiHUbYVaksxobGy3eDs2tc/Mx0qKawFX
ZYVxypclvqC+y4umwixb1iXudu0fx3KbzisqMuVPR3dl7nFg4hh5RbOn+F2SgQZYh213KYMzELDg
CnayOxCNnZ9Ds0qivFaVBobSOB7uNKJTOIBtshARZTGaXE08eLjxP8DB31Y8TuRonjxbnUM1nWSw
XMdEPZgI0s06tnvhgETtWuxhu9q7NnZ6KiUEIqhnty2Z7mrsm1ltL2O7AtbEVq1GAk3SyuoZKQ0n
Yt3DMo6PmlE3GabOTWDdCVBP7VU9DnnkKrlrF8hMvrKXQgV3dbc0uZ29PPL7kz9NXbKME3aUxVvJ
vRtEYVwjueN2qCLsEcz4uShCC1/C+toItPZkYCyHTfltbCOYk6BMJNpH5yHI2Tq9zE2DqwZRLWju
gq3PKwntoA5uY6iQCBnYBtPvleufkXILzPvrEg5pSn/PQMfzbf5DIcfP/lHIkca25dVDTvZA/jHU
+D+GSv8XoGTh7yV5cyP+S2n2XPga4xAbLyRD/ThURr+A10cglU9/rfJ/jxfZjJd/4kW22BsozEgn
wl+bEv7jUBm30Rp3OChuGlMioCNVg3RPjfXIqYMnEJ0rbZ+WiqPoWeeKdZBtqrAFvlHRTHQOgBFd
PVquzzWzD8a1V0uBotcLGifw7sKEXa7IttDPc7tcR21wDEsKlaeQybDtgazFNnyiqcVyrlwhU7Ww
goFgiSGLxnYPJfpbwLhO5+/IU1kvKYy+fq5qBz0uI7upqhhABjhpQCJ8Wijuh7EhSw6zTpu5qn8k
FCcamRwfkixPg35102XWCcEEkKqueGliD30uRYUexyws5890qpOqGNos9KIvuAvLFPj2K4WPPkH6
0zGwDOt4eMmQFvFKOdmzqF/TYg52Ait+jB7twacmzIxkh9EC01uIAaxt7OdFFp9bbW9cKQaQCPpT
6cZl2pJ6X9f2CAdbt/PsrDJl4P5hvP/KXQJvlNe99jKE6rgZpwrM5nQb0sd6eS/7sDiDw0FcTei3
CbxhubMN9z4MlBlB2ElabrZ4zIHxfp7rsxcOBqoS5H2YkJTeIXQHE09UQg+L5K5ZAjdtthafCYhb
PEbbP20DwLKNAvU2FLBtPCi2QUFvI4MaawHvIgJZFrcs8s4dyzOE1WbP4lk/+KFZn9GQiUy6CDGo
x8a9oFxhKzvX9SepcHTC8UVfIcO296PyhltB/fLIPGWvhriAOLg08oSQAQUzHiHVVTF3/ZaxYa8m
tTZ+srZu8dmy0mEwhTvDsfPdO0xUXi7E3D+5Cz74fYFksTenivk3wiDIthvWN+tlymuQfkuLDnDc
4D8MSbhuFNIrwAVqAAsWnOAAXnAEN+huAKEzTNdqQwqLDS6MXIMzeQMOow09JGAQyQYjDq2LHKYN
TwSniHAWSBUbuthtECPdcMaV1F4mN8Qx2mBH+Z179MuH6FcQEkik3OBIeDTNc4yIlyMFsJaIDaJ0
GHDKEVyl3QBLJIBkdkMu/znMXXezm2M++evDPPto/ucal/x/wiPwg3+c5MEvuOkhC3q/gcM/nOR4
YjAuHkCBv4MOv5/kW4AfTEhI/dvisVw/gKj3Gx6BpyAgQgSPt4F7PUAV+HvUMErMT+c4ARQBbzu4
ZgDDhGyz5I/nuC6mamzWzr/t4DB06/Iq4tBqzJL/8Mn8tqr80euEBzD99EJ4JwgM3koWFqTIZkN+
088vhNSmGobber4NQ9BNsMgwkofrdGpLpChIn9dIrIEe5Gl5Ey/T1VD3T5GvkGmC1jmdkX2U18qr
z0aFcYZ7CAFmiy4TJ+w3SEO9zmPfpy0TAOA2p7gYm4ceL5j6fXMr3RK4UNQhbWLwh4wh6yMNYHKG
C5mdh9Zu5h70uYjV2IRAuKvrbldQs4Owq7MJmEQ21hZ4FnlxWHSJyQThwwteBWlkiqXgA5YS905r
rx0nvNala7Awg/MSmX9HpIBcz0XLcYZ4T0CgmsTlxmT+BlhNRt8hTGSHSMKXmKkPn0dvvF0+qW01
V08R6L2lvA1VcaZRW+6AyxxoXKj9KDY1TaknSfmhZISnsIeckUzwuZtFvTOt2+PYAFbRSNtnzrTZ
nbEcgbVoffPadju9qxvCcDAvDWKC+iAbaP02Rd6TGvlF2nZKpLfcR8O0RzdxwDbOgaceCU8zCUr0
6QhzEn744Cx9k7Z6YNC53mKNrVgAv8iAKjVOBBYtDJEM+Cq+v2qPfdg3tmA/6dLw4pgJ+FgHS/8A
CNOLlmt/RszMAupzFl65q73mFqku1S4I5v3akgvnBU+0R/axwWcr5hp7VwoJsx/iN7QgB7St97Jb
lyxYx+eSYmziSPhIYIt6GOfp6IW1gYbpfnGRfpnweXluyjJE/tYKWxzmnlFUBmEk6itU0q/+3ACu
tN5BNvERwogH0nLeI/vgrkVcm0WU5FUUrF1Km+7LWvWvIhpF2lL5CMaxysgQ1Yd5CvYw/Kd+UOxg
bUbWCC4xzGJkFgg6EcN7V0muditz9JKG1KrEc21dmmTxFdJtkFfTZW407zw2bz5mZU9NE2IQgHPL
LbCLIsHX2Y2PMA7uzIrVJBIhe/Nch8Hmtp49d4U7a0MXLaTbuvKPAXZrHoIL9LZ4ZcM7SN17r3Y+
WIyvaQB9J3E1wl9v0I+NGoPfnMm59o5OGyIpYDZXTAF8ddBhhWUNa/Noyo3Inz/RKhpzy3uo4W6R
jr0FHbyF+4xXfQUGSI+HedavyK7D2iyuUlO5yECSl5rilg26+hYKyLlxnCPsTQR9iBD5ahdEWJjy
K52RSFfNFbYSk3ePtK29lfqjBsOb2gluc9q/ziqHOnMURCF2yTksNHq3lfu2hkudRg2idpbmrSEP
Zh7h+59OveRJ44Ah7VTq77AEFTHRWNQF+RyQg/GDnfIEWNS1N/sgqvTO9ZA8wQ1564iH6Cs5Z4Wj
FBijfj953c0i509KwrZULuQZmaHs0jtId3vc2iPOiCoO0m+95v87Rn8W0LZTFOWCAHIFYALxffPm
/nhcj+MYkGKhy+0M3TUh++JkH+TlWOnEee9e+rw+Qg1JijM40ymD0fD434/xTZ/7yRq7vXwcoe4g
BmR70M7PLw9ZPTQOndZbE733xTF2dRLbN0e2yd9/HTx/FXkskNPhxv2zpUqjZpUIWbr1yisEnCZN
8xHzI0wW/8/r/Fz9fv048XmiBnrIy4Vi8/P7GbD1DydPuLc0PCsKwAx7YPLy398L+U/f2Y9v5k8v
MgnXHX2gZ7dmNz5D8snNwf3Ksk1Tu7S4xpJ7lYOd2/mHp2uWNcm1gVvxecyL/K46zckBzf2VzvAf
ZnKHv/Pn//77+T/bhn79EDa/EB7SEcBn8Of9YIOgSADbrneLgJfr4s7N3Yv3wk/IVsR+PFuS0ydv
b9PrYTcf4D5rz0DY7+D13AEXTL//Kv+oAtsF/NeNZN78TyYVxP3/IAngB39vJMHZwioG+TwgqJw/
SwIewt19hDEDnIW2vin4v0sC8S/oIQksaz7C1X41nvyLs8V5QqAKQK4Ft4Ru92/AZ9gx/HQ4wELC
8OfgZHIJ1FIoFH+6zgde2NDxDMR9Ip/nTd3D3jdz0PomUTWqW8SYQgNEsXwNSa/TOGyGREdOBLkO
2UGjY7rTypE5hNRmhVJHXkCZRJkC9Z/2CJPdrQQxPe0WOIimSKWaTDIfitikw6ZaVpAvEdQImcAy
AXkgeoohcaKqdDu6QraOIH/iXuAHBUEUi8SXYga4bqr+QUkBWdkp44Pn8i8d5FQbuGdk0FxLFwZL
uCo8iPmVt1tCD0mmkGObudwvmz4rIdQCUPpUYIWtaT8iCHJ6cA1vdnxAyOY0Q91DMM9nCunhoDcN
WCF0chdL+0El/UA6d5UhmmbKRkjHsQ1e4bruTv2EVS2iu999I+7Epjfj1/wSd+1NHSLFJDBR6ggq
5bOFmSDH0bOvPdCrIVBVJI3suEQiRwGYZg3bD9p4ud2wVtn0ewLQNVLz/UxrfoCOwOC2gLu/ntc1
q0qH5pNjbyIxB0kJeLYERGs2mhZQtUS0DpNJt7G2FaDbxmDTSvUbYg6R8xaAy50gzKwbqcvc5Zk1
1cxu7YhhuNd2RY4KSmJ8JZz+2zqJEBKkqfKxmpALakG6krWx+7YEAjiUVXzsh0XcBbX/hBUptGCE
lx58JpKV18Gn1Y2Svk3ieHqcaMOv4WjB4tptFULrnPrQhzKfK/feA/qEJoNhEQQGDrv/8nlj4xCP
M7EkcMDjBBzZtj3tLVbhyOR1HHnLqwKrzhH+DOo+IuAWG6kKG5QJg1FDT2Tq8BFDICoq+9KH5dco
aK+wpIUI7A0DQqZ0m0TO9E7aEQQUCT45fvOG9hooN4/2S0wk9K3q4Lsg6yI5ZnZad44fdNjhYI3b
1ZmtImxx6itaRAhGRkQ5Apkf2rX75jaS5ciipdjDLkiaqZHdaZzqi0ed19BH4o2w943QV4txHgFc
vmmUSwwJMYRl5zxYde0GxZPtqvMyt/i2Cv+Zt3DECFU8IpD3rCt8Qr3PyS7o0bfWLL7ufPKpiOYn
6npr0vCmgqiPlhoBrJ9HEt/PqrrmPXbuxbb/iszN7JH7YMF7aYvyTo3eETbalCAsgWPzNNH53Dvh
Z77o521c4V2IFK3wRpTrIVBt0rtYFdTj8hpOjO0r7rRJXcLjhGMO2PrgQKVbEPVTIFQ2NaV6VWN7
CmJzqQP/KNz1eeoQS2WQ2pgOwXzsVbhFRUsEdDnNPVKsPiN7GJE3daOSlbL9llKYI5eG5YXGYh/a
JaICYjioCNjMqm8rRH/2qR2xm/AR07WduDilPJnXxNxKxDskPkyvu8ksd9zFVsaDpcjFR4Az6S5Y
6KWa4i+gSTY7D33yKbkEZACyMSF1ySw9dK3tiFNiBSTvPvhxt2siIC5+P7bJiMi02AubQwuk0Gs0
ENFWU4AG9mVa+YPnks9RC1cX99kF7ttiz7nj7DC/33sRgs8GXnsI7Yw++0iEzb2uAWJP+3wJkN3a
lj7Z/FO7Gsk+Sq/FQzWsVVoq77ErTQdbQlR+6YVzTZE+mcM1Co6/fJkBbyhAHC1gjhUtcK5BzSIy
y0WE2YZ8lOOGf2Bubl/a71DI6vMl0dTIHAL2OWTqMd6WDWpbOyC3+02uZQxa1QTwGK+vhcHaIcK2
gmpnSNdJ3ZKyuRbYZwTYa1jsN7xt0RF06tSsfo5MiSafdHiHvcZlihHMS7c1SYV9CcPexHUgUapt
lRIibwOd/PQYYMvyf+ydV3PcSJpFfxE6YBLutQplSRa9fUGQFAnvTSLx6/dAGqmlaTPRsa/9shEb
PWRRVYXMz9x7bhIyl2brki7rlwwZF3/N/OQvm5lGPRS2vK5lesX3gTeBHU7BLme2GWX2C3xt1Msd
wumBBqa/LdkAGU53hCN9JvTpvjSZN7MpctgY1b4oGb/yVC/LJDd3aMuWBZPvMMlLlqVTqbOY4owN
ZFLvS/ZS7bKgctlURamDI2JZXtnLGotdFgutOj3My4pLy2C+fl16LesvAH3mAaxWEvjLcqxa1mSZ
3mK9XFZn0cSYYFmm/VuVfRvvUaH8dVW2hcVV/llJxk/9KMmwKpGF5TGPw4mrC6q1H1sa/AD42Ki6
iBr/ltvxvSRzCdoBJ8+MaBnffa3Wvpdk9m8MCn0kF67JwAzKwD8pydzFRPVTv0ZJ5rPu8ZF8uAZ0
DcSJv/Y3WQFsb+pD94Sr8Rj1zVhe9NJUzhq5Tl3DaU6GeefJroO6XUTTQ+UvPvfKL6G19Wn8PFnd
LaBpFcRdma1lP+yYbwf04Uwm9NJkKJ07q8pP3ximJjyodrJRWgddFgYsQM2eOYn2DNX4Bnzkoxwq
I7vu4Tfegvbb+xJxnhtCEeNJjhATnjJUhnLVjA2oQi16VnUfX4VhnDhXca7cK7v0GLYInK/WysE9
UAV2WOjlnQPtfBtyTslNNxlhDzq/i5OHgYsYknwmHzPTj4FlZtUeNWGquILbC7DYRznYN3YkFPyz
8kGf87tBQICr4vrdXOwITjyweoGM0PYp55n1Fi944FYTJ2cwcRhMD0Oc2GuLglAbtUArOAKiRYUv
6toIPIWqoStdsTFE/Ijo22NOlKGLtm8zT16mKYEdSku+ANW6KwbxoYs02XQFb4rt9deulXH3IZnc
S37/yozq7EVZ8Iwzmez1mRlNs4zaity7a3LD3FZlVrIx6LXVlJr7GBdXOY5tUMjkYMUWyIAidoH0
uTMqgqzcmCjbODjU0arN69AcijVyAVYOwtxXGYMm08vk2leTeVCjwZBw0L/olR94Q1eAdbdDFO7d
rij91yiuzhzfPess/MyJBwnQmv1bNwSIR+DIdgq1L7Y/b3N9OmAVO0UtzERYoEHdzs6+KJcFSlh/
9hWTGSeRqN604l3G/sQep3ziK91jPB3dvbOU/ny9rpHY96veq069nWrUjeEVnPprO0IzEMXGTVhr
9KzcqCt9au01dM9uzfctiO3qaUjNFk1cf+z5BPtu2MJkSHaoXmfukabazKU4FKO6nBr70ej6k98n
d2lPRkaidw9FFN8s2Gq088POiBztwKFtrca4vVFueAfM8HpuBh4Rg2UXvIho5SeJQmoaXg3hvFd5
qLEE1N7bRosDXdTZTtlcUrPh55hyWPhFdsdSUBcBlO75WNXuZQpofVt5tlzXQ2mtizHvgW/Kc0wi
X2BbHJPBwxvYJRdOWrMr1N0zaBDGTvchLytM9QYPQCCM9LXVa7lVfn/pt+Jp1GJ9zaM+ogUtnHU8
WJ+FGmZyS6qbYa7X/eBiJodW4bpLoEFZITHPxntTzuVeE3w7w6Wk6/LkI1fmzOXoPtnSvjWZYR7G
KmPq3JoH2kQrsDzvPB4hdjnID9Z6IcRWNullEjkYJbObIh9PUcx3W8aLgivNNknhX5lR2WydnH5C
1pLJdDupVVM6d9Jg86q3+mdoihfdyt9Z3xwaaXHPRz39hGZ+iE576FLXXxdF8VDI3tyYPhgS1Ru7
xCmeKyXObK1S9khdHcMhccXkXFupV7u4+nVFpkjzZkngIaaNtW4RSA12c+FoU7+ZM7qrcX5rLfO5
8Xxr7+t4tmvfvZqHsQy8PsYt0gIzxTZWrqCevKOx6A6629/GZQ/tsNbzPYksajW4WcpZa73Ujrjt
CyjyEnb0lhwU8FEDI+S0rkskN/ppxMCyYar7Mc7KD0qbyjI1x2AMK3efZaWPrVTkK39osMyjbUUD
J98ZrRdro8NXqYfSPiWTnRCk0EysPMw4sMzmRpYUMMrDtmRAMM+ScuJzSlAVWSpI7FQFKo3ri8KV
B1WEL0U5gWrQRLEBahGtJotva92m745b0oWF6byxy3AbCUvtnbJtDlUtthkepyB2nXzreTR+nIfz
rkybl9azQfBr8CbDXUXJfh1rZETYVeKjZJH6ihWCv520ElwACsFrpzTrrdsYBwIIztmnY8wqUm9H
n4zyDX7yOhyVOsbD8CVD8LWN4ZYfzdrCQ1XjgMmmqNzHZTnfz7Lgs5FK29pY0FYaxf0qgvO/svsR
rTDABIBY+PNt2Om5fwz9+UxL5gJyP/1NmM3XAMcDAMe3nuY653NHpxcPGL6o/6/qIb4rTRYPGVLj
LaKyZDXEWotqt393GtQOBRyh3eSxwFIGcgSETtPKyOOrPmHfFs56kFXJuKvr+QzOxjlSuQBWwNXI
inxjpY0OcoJ2O3Hbk2+n7x4evbwLGUi4Pm0qyVroDG10SZ7asDRm7Dw37Jd0+WAM2WuVaVd5m9xm
6OLWOlPWTdoazqoV9UcOxiAqdLHtLQGEIxH8Smi5gcz155rADTTwySn0B/xjhj4GsmnDdRVmZ6UH
1COd0uihiXPkbeGzQzO1Mnl0yfP4bIv+2bY0/MX9qf66DemL99A2/Q1REhkBEPnDUHns+hJ2Haam
Xc96rQdanlwYSBKQw2VnOXKKteBOtbWRA8wwPiavgyYannvo+Xd6oo7QJ9BrZ9oqtcvHQrWnqTRx
5amiQIcn1nygx6Yzzuy8+KLV3qecaB8dJijE0+zDLv1g+bfthqrfdURfdDX/VVbag57q5OKcFSm9
yuBip8pe/SF9g5e/rkfUKmnrHgBEL98aL1p3TnucO0nnlvHxFHTqKaOfaeb7nIQmbbEpPiws4ivW
oLdJGvE/5gAfC8inbW6sBO5djIpesqNye6ECOyQTnCUqHXZWznG2q2I9oG13GhiBvnw0LH55PVUo
XNKzjKnVzir6d4HxMnJDyBVYm3S3wN5VPhgWF55fRjs7NhCReNaJzdJ9KyXtaIe7WKubqzrxz8Et
sUV1mptBA8nhpqjVZ1HsoMzSl5rpxjFkQYxbjRsKD/gWNDazn5kFH67Q22LE1kCOBRwW6s6Vlyco
SKylemgPrhUfpUo/Y8NOtpH0LpWR7qp51/mIU71dq8rAmM49LbuL85GVryCEiDX4Lk1HBKkuhYw1
v1me3DoyegPzeC7MAYxGqMd8WM0rmsklGUOS4VDrY3vG43MXKcZq9G8PRu3ihkMF00EC3FtRvjfh
cY99FoSeVV+XTlugXCwTBz8aCEjtMR6rSl8jVe3aIzs/WTD3kqM3bqt81NS14tMpdTvRAhGyPYpm
VyaB52fHCtnoaspIqaHn3M1+RENfaVvNBbhYZprcJqIKRJENQThWTxBv503pjQ39f2QQMpESuFXe
SuFMW7Y5n0TQPYoERlZB4aWFSb/1bf8Qu+IVRtbVlBChE7ugX+KkLwjV4wnJMoEWSI7GSmMwwnWi
qAt1LraOK43Pb/nsqM0HlP+RH583Lf78vBbB1LunsU+Af7rni65rVXbpq+GroPPFOYgvqpuqfuNu
gcKe5+us9O67JBHHftA/ZtJ6dnOqY3Advb0YhysswAC/lkQsWokVdY2ESFh+aWWBRyPW1jZoli0O
mXPREFmVjaQJ4Na1i0ruOXfPfcmaVNlcdjC+98PIE52avCDa33Um8g73AGvbbnZWsNB3tUm16xvZ
S9YkaxFfZjV6Kxsbz4Q2rEXi6HvjSUN4w4iyvyzs9As8eVYmBp5nlZyqSD/ZuPnzcjwJ89JhVEeM
R9C2WnQc9eqRGKRDHyfPvdvf137FmhBbDmEUk+PeshVdU/eeVGO+JDXwrk7jZCyiw6zc+ZAO+Qt/
4H28tPYuteAm7msUTYX2IopqfCzmMUKGmp5NBLUE3Ui4lCrmCzkqPKeO8VSPWDfS7FrK8jWrPcS0
Xc83wX/O7YpIivixIAvt34b+P/4J+tu/buh3+UdZ/smKhR/63s+b+PVsxIzfcHxfO/Mf/bwJsGQx
4zG5sk12MD+vWCho4ex837H8rtUhdNfyTNB+/B82jAsV4B+sWAyH3/RrP4+VkF0Nv9PzBMa2pd//
ycpHgoxrToPnX5pFC1fcNuYateNCXrK0MjY3dkxCyQszy/YatSScpmJBNs2wm5zUP29LP+O6yN4y
Bo2KYmE0+2irhGCyVFs5nqrWmg/lZDWbYfSvaVM/l4yTNaQkrkNzp4EJj7qEXqXZ6eDDPTDiU63t
tSR/s1u49W5anUepvM4W8rjTtwH93t7V4VXQ7gLYl2vo9YRHpWqHJulkUgElJipMGUM2H3S1Vway
x1Iz3tKCtAaE6IfWc59qsOhzK985Dy/gZuX2AuB3nn28A/1CU2fo/9EqL8gWznqKiJPTEPb6zHAU
SUC5Nkdj34BnHxdOu1yI7ZmltYDGoLiDJuVfiyI16Kr5kYnBBdmRpOGlEODbhQVvMhKIBUkL1hBt
24UXb7SRu0lByHug5NlRjUGz0OXBFT4X4OYRl1L1V5ck+KBPKkJ7WyxserI4DnKh1fsJ6HMDdUWg
SzGuqoVqXy8yTXrfYk0ICfIJdV3Y2aGDR7CCbvRFFaO30hdOPml0LFdQJFiReoW8hg3AMD57Uzsa
QPYRKZ6nC3U/XPj741cS/8LkrxY6v1o4/RPA/hlwf6GV8onP86y3X+aCkB6INPiqAb6nR8T9txL5
PLyELO0CRAhNfK6Z5cA1lmTR4u7Mqxj3c5/5uKoj2z3knSc48cd4l3gekhSgbv6FCQzq6GbVuMNz
UR14X2p9I3QsGuBZ/NsQhKG/zpUxsQKpGAeMthI7xvciD/JhinaGqmL2dmVrnrvAdh+9yvH22GX0
p3/nm1/nmwZKhL8+DvdDQUbGl/6PJ+Lycz9ORIuMYUdfSIOOjz6AE+fHiUj8MMIJAE46SnVSc36c
iEgUF58Z4EIL7QYoMlbF39WLGNR0g9TP3+ei/+BE/O+VMxm/X9HB5HOio0SP/ut52A/kHBC9KK8G
/RghOlf4V3c/vSl/olz8JoH8VfSiE80rfJxe2Lz59/76IgZ7hTTNuvrKkggFu5WwO6RBsWWW1lWs
Y/pZhGxTdj1XieOdliTQJ04IM7v2dFutY72YTBTJNeTh6tDEBE2F+caxks2cGAwEZmutVH4VEryZ
VxoBoT4BDtVtr6OSUrGxmRv3Zkq6PaRR1NoFOXZJbwS2aI4EUl1qXvaWq+xVI2JlqOsDURNP7FYp
55P4Muoxrpr5wY2JETOm9pPehuCwRAY5J9YuaTA1a4iUVgSZ7ZuRGnNw03tcRI3VrfnnPUWOftB9
9FsW7mAoUh85ll4WcYKlbPER1jjovKLGFadPBMN07RaK3nmIUTnwymUZI00OZ1d/m7ryaAmtYLhV
3o1GdCRI9L6deLrNpH/MCtWtYyXfO0cclWjLbZPWF2U8ycBvXAt9fWivw6q9bRPCVlyBbyxS1kUR
IRPoO+s6l5AE53F40lILnTjJatzfBLKY/Sd2GKYviVlBrKmQuIozV7aCDVSTrPKsSfeODpOL2UG0
ntKh3CS1yUZv9DJmuPOjQWCrxce5qgbtxpbwtwszv5OFD4jCy561phXAsOqDj5nhlPfSWLOCPnZa
gvnPaMTK8KLzqH+30mrr41ZICmmuxdTQoeXlYzgTXxQ2HgOnyDi23tAG/ejuZtd+rxMWj1K1MHvE
u9dB3PfS5NMrKJ8jQUpr0/t4kZ1Pkci13iQfScOQ0OjSfWxinDPwGlRRcTWa3ZuRpsR7CsbCaFoP
eUKwpRj7beIt4gTAAGvR9XIjNN1f2+VwxVLtfowGsl7yHjgfLnNm17fR1DdB5UbDugxZnQoiOUZu
wHk5nX0vvTXBBrKOpCXyx8dMp2JPlPOZpv6LbWQLWANxnTVlEDHCOLsoi7xdR2mCSdnW7yNS6Eph
1/jnrMsod90grmLJl3V6GdOcb49sIKJI3g/XnZ8zJ0Royf09puWHMKSzHVv9Poty+hRYHZO2UICj
nvmV9tlr3jNRQezTsnjtWgZbiSlk0UtMjlOZgGtUdqi/SvSkaJtwv9AQfLS+zZ0dyXlFXcG33M+z
+4ys6YONnf/KseRd05jcQfVHgbgkyeoc3E39hYRExtIMqVhPMk3LJGTSNkkfhejJaQlzJgYPpb+Z
dipW6XmBNTPRtJt2SP2l0sgbwmAKMJ8jnB3NnaqghcS+7nLbxpFNEIpVI3+0LgRUVWoxmGWk8dQ8
mwvV5dRV7lPs2R+JPjUrjrWGqbixLfKaqC11Rjn7qk3DmewTkDnDczQAAODMuWlLY4M79qYyrIM0
tBtScwJHix7MzHnuPJvNjn7my+gKzdwVWaMXc9dvZwbcmMS+0Kzl9KRpkHV9tiEMZp1hu3W7Fn8d
U762Hk8umEjoAjnrgDlgSyLZEtGmp57GrFa7VH37UCR+tgnN7qPD+mc206PWfdgD38TRcbeWIIVq
HcKlROsRSorYdFCattFH5T640TjtmqY112kE78f26r4+ZZb1VFQClsyMf24sybXNU86tVVaJWq0K
Ysh2varatZdTl3lW8ZA13Raf75OU+QMk7GdEJNa1PtjzFRdes23z5rUxjUPcWl+m0LtsZgyAuR8t
OURIkJj5BUkzemstzZNtMRf+nSg8dREV8W0SRW9sG7S1zIb8rKVRpNjsUWZiy1+LPn4uTT5FGd8l
SZUGvqUdh7F7GghiZMxoFdtwUdvW/H3kG3H3kO7JGQAK0Am6oZ4vtd7T7pyUka1SvgRJge+Qp7x7
DP1ugP/gFnueZi9o8j4QDrklo9HLHZMpgo2LSu1kqYMeyEHnRj0Te0Zw9l5iadpTy5JE2t90Il6a
0106LgWqFmJ6ZYc0O8YdpfZTa0y3kd06B5TwT5UvwUFFc3j6+2uX4uGnTmcRJeoIkHEYOvQ6Lvy0
Xy9dJx9qPAbNcFV5QG+My9S7c/irbbqF9H8pNH+tIpbXotMDPWJgxHBZvi5d109dVddVsPlkJ6+8
cBNmD43axtr/EFn+r5dY/vtPLwEZOc/lkMurmgcT9/UqHl9Effv379mfvohPo+lSsRnmUnX9/CJd
jCUsLaW8stq7pjqfNDyhh79/iT9+LLxVP73EIhD+6d/RM8GNDDHJK+HdFs12LuA1y8vSfU3V/3il
RS34a9X16ystf8lPr5THo104EK2uGjWvjJJVlXkcCgYnm7E4zsV/uId/mebxR2Wz4eGzseH64blk
o//ry/VROs1tb0g6oCejR5bi3EXxmSr+7TW+jV5svmx/3Ws8V/mfKCmWn/nRZ+B3RTzKdAXVhC+W
IvtHn4Hf1UTcirwCX//id/ohbl0g6LbgfCDg19DxJf7oMyyUGQaMRo/+wFv8Rv8MouT9+v1ASbHM
XYQFXcZyOZD8/5q89K1MS0a302Xdh9qqhtnihu1dbxbxOl1wLkioq7tkNPJLkyj3227Bvmi6QbbS
HBInBBMm8hc6TCOsk0VzBBQO45Fy0w9rdoB7s6E5i+HLEJCOMXtBzmQLfMaPImxNBbglfwirO8F8
ol1gNQRNB2MSV5d02mgPF6QNKkPESgj3N9EI8KYzjHvizPN9nlvDLgVPjdT9YEHJiRpwOdMCznEW
hE6+wHQEVB1NdySqDO+hXIA7rJqri3iB8PQLjkfLymmNpoxMbANS+aT3/r5BZHkZSROBHNnoe1m7
Phw7y9/X5QzJJnKfqo5lsaiJJFwy6IaGIElfe5Y2qYU94Fwfi+rajqF4DwJJQaRvzGg8ErV7hhH2
gXfzAtIFxXRfLeSNocBpH7/Yo3idHJRjCGMfoyZ7bO0y39RxJNlNJ7c9qDqswhpC4NKAUhVBQ5rR
UWhO8WFFlKx4fo5Oi9ivn0ukhXaabnvNjrZxyBaytOdnPmiuXKe+5eY7iVy9eXOyt0IAeKK2voSq
u2LQPJ5jBm3hhDAobqR3QvaQr+ZwPtkVH2mPrLRR8iorrDfTah9xr76To4z+IAb+lk+XjmTb49ZG
jziUlhKw5oGmxV4z+OgCGfmEU3r92izE3mGCjinL21SuFaIQi5/raL4mO/YsbdA5aBNZ7WOJ2JPv
BwmsHgGLl5bSU+sNaJmtDm7PNtGNozMtFDMTPqZXQc7InALO/tA66BODR6uiKWTS2HdCP7Uv9DGH
QwHQ17Vp/iiSzwlDAYo3gmwMdSNmAsj2StnZxmsMdkTabN60NtSI0WshxEfZe2PWgvY1UWz1Mc5W
qY/nJmMomM28yUkXHjRFxHiEmGEtecDXOt9UK6pv8pKV9JgQke75Sw1U6HdlHHYI7XAxkZO4au2U
ZsB3imU7ytZKRyCowg+lzD2mXpu8Wfuu7cMXsywBJmcMJV3/ROmcHyQD1VUhBxK6CXfWoCdeulSE
q8lrexTmibOdWgxD5Gqvw94+1xOQoX6p/LXOmrXNh+TIROqsETlL6SrhU+oZX1lPnRFeajLayhlq
v0AZ3pPqlq39Aqse1qxVpOjfmvwtzm280CgsgFUHde1OvLHFSx13x8mlicw0kJN5YhiXGJEXz7YW
36RJEx1LQTtKOsBpbLB4p76zMRWx1Kwy+J6PAKzDerpWBtB31dTZkevSw4Jthnu96cXG6yqxUxHr
Pl1rOqTV5VkU6+4G0LJ17JxoPjYpsS6iavRN1dTXDjrf7Zypo6ZHT7VWWFdmCpKL0y87aInwSdyt
j5q1gBejcIP05Llx0+izK4sA7dggrt00/ZjTuWcf6Ft9u/p6bfzrEDHww/71/Xko6o82ec3/ZFbH
z32/Qw0GcostDI3w1w0Fdez3O9RwCG7EGkIx/RU0zE99VyMy4LMsV1/ATNS+v4Rbm785uEOIXWPz
8TXz6B9tL6xf61NwFJYtbG5y3GOsMEC7/1pjuXHTlpPWqIvJQiG3hQ6GnbZ28et+6vNc2owq4PTQ
HVuomeZ95WQLpC+cUjoAR2Q3ocmO0UOCDNZtdNXKcsx3Ts9uXfnhK+bg2yzMiiuVYRBtZsfcWja0
QO7a7qJynM+49uhYC5gHRkkuMtIRa+N2QGN7R5KOWBj2+cye76CVec+4DI2NWk8OisM0jdpTrRvI
vVido/vKzpD1lgF3m9piR15SEjMsDhhv1/h8UbKhujyJUR0zOzn3qj48K5I822aaz0aS5YzHbMoh
2RkU1nbyXZQ5PW1sw4xkbWRfee10lI034AMV2nNO91M7U3l04+HOcGKdYQH7ZfbYNQBEpZ3a1HmX
JY1yU7nGjiv1c07TF5bVSMrFaBQHGRLgUYtU3aPRCBFVxRcReR2HIU4/+mg2nxkboV9DUbkdnRx4
YpdzPTJ9B3Xll/4Z2npj40hdO4p60s/tpOx3CR5gCOqDc9667rUHvvaWSeJBxupOq8HgVKIUO92r
rl0HsQ2+ZdjNOhGC8GSqw5yhGxC6ZMejMu3ciLnaXdXG9vNYRwgFdSs760Nl9DtSlxV39ty2TnsZ
89mNBIInF8pg5rXSIiNE6Jbym/y152ukXHg+aYnAUTT7UPfKvNPMIU8O5HbPx3Ys/csEDX6zqmaP
hT7IHyu89Nnts1vP/M/R8LNzE5mjERXzLQAOYwr+Pb2+bRooh//m9AKR+CcnFz/z4+Syf3Oo7gEE
cNf/qqM2oNP5OtY1T7dcAxv77ycX8WkOeUkg2Cx6Nhaiv1f/9m+ux7z+PxS8f7x3/dXCCYUBfru1
/A0Qri1skv/VjFpxXhvR6PanInPibVXlSTBVBbPYa3zTM9KVxI/D2dmIeNRjJPljJje20ZsGEn1K
aLkWKrHys8ZLGnWJNcpG7gFS0m4xB01OQ6KzncfWDkYBim2CEfKEUBQtTEfglqFflS9z6wziyh0G
vy0DlxxryE22LTtqcq1Ju1d3BvE9Y72AC46kZWpHqieSxdtd2tX+Rdzo8SGaWnLspRT3DWVI5uFv
aIYqs1ciSxnNN3I8gw+mtoify5ObZ8MNOTTyTS9tu8aBFkdvo2inbd7pxTnYsopRcBWeUs0WW9xI
MSJdAzurJy11bbgmoLmhkhdZ6cqTgfkiaBH6VhIJNwIes30lZrpb5z36nnWMSuwQ22l/Z8oGPRC4
1Hdvzv3dGOeSCTqEB4wju1wT1o0363CwFiV0PuiTQKfHNtXue+S1jq5OLUa9bQbTguAGA1lK1+FQ
Y31BltU8EhIa6tgjjBqkg+/H5os11/NVPM8ptHJzMN8yCsWzoemig2L1+WTZnQWR2UStVzP4m71i
uByG7J23tDw0vmPcGl2i5+sUlMcFpZ+/ssEOnhSRS0Gk7ORkJ12388l136Sz753mhklb0ZS0F4qc
qpgl7jsyoPwcx0r3MBTVAOo6LfFCJuaFZRk50uSYEp2sCNYSU+NcM1DXtpx93ZWVwMNFmVOd0TqO
Z12XHdHIzVj8NW/b2Gr6lCLO915dRMeponJb2amrXYAL1WFudKArKoVSuO85whvllbs6Qj0ssAKu
JrtlAjKbfnjMW815YC3wiBXSPDc1r77kzw+3WgaYoatMRIRtq1+qOQZTQL7RIUrQhQGzTRlX1+om
bj0ZjJ1sNioZJjrTOdx2+DWjf0/Wb3MVg0HIX5+sZx/tnyhalp/5cbISvm042LodINDfjs/vNSFh
FoBfyJfDauJYjst5/L0m5Pj0PZaqhv41m2fZq353qAhOVkY0ugunxWCa8M8cKvxlP035GKv4zHdJ
1KDgwezPmvW/SkKjjugn5/7kdgAYM+x9GApjMw/cRvg7d/ReuzCSWziawDNIExPasei8AUW0m5jp
c2KinL6Mw2poDkgY6oI1QSr1Ta3ZgwvAsW3lVSnrU21lyR1SRxxbsTW7eMbmjqIlTl+s3OYQLwnl
qvWQ8zpink2qVrkc8aaY423/9dva2FM7HESoFbgHjd7Nu+cixpgHZBNrGqpJa3C6pNua5ZQYx6KA
v3kbzRQ3bFnDlHUTyA/YkhGCFxd55jT2TgDdM91pmWo2sgmN3Zg5xkZOzbzT4Ww+wMAajH3mK2fe
WN2gIjIy/Xna5AO6TarmUEOOIWoNmXk9OxeD6uIqqM3KuU0cp10AqDU6ThRDO6OOs/42s3I8so6o
88vJdGJz17j8/7C9q6dZCh/4Gv7BtF1NceUe8JRY+ubf4udb8UPd8TePaFJG3Z9UP/zQj2eUmEdX
2DyLhFP94Rm1DOoPFhMOVQwd1fdH1PkN/6znwXbHS/v1OfzxiC7FD9WPa9IHujR9/0h05i6blt8H
8csjSnuIw41IGYBTmPt/fUSN0OoZY7j2KZ4BUN/jpSLicF2qwgjIjGIW6aGVSi46L7NgzjkT2jCZ
X+uatYY5nBcIzKc+WfeuHqId9ZyOKIeqnQPljlijB7vjgeq68CitHJUyc+Q5u65wi9W4xrDRvkzS
ZI5jWSfllE0gSixmDFqw+zTxW+UiQzIXIxrdLZx5XVtPeNRQLGTrwsxUIPGvxUb4xH2Now28LWL9
/KvTLSN1AXI69rfRbjG/EF3hTs66GlRfXghNOXuFWTsRSYjLOZdkfoCPCsuxfjNJt4jGlAwupwjX
Rl1uO4Dn66pI902q7RNiJ1dTW77pVptSs8CkQ1p9n0Tau3lRl+qigjc/WS5vTz6zT83DO6PxrotK
3/hq3KXztdE793LsHh2PQAtsFf634PJ/Zyj23z6IDx9lP7Svf3wUlx/78Sh6vzkLQJOBiPEfkMb3
63KJuSPCFdMmck6eBZ6T78+iwLVpMLYTApCayfX4+3VpAdAWJg+jtcBslv/0/5A72T4hDoYBwXvx
cyJJ+vVRnHQtGtu2HE7cLOsFcRgtWabe/6LvsDD8wzOP1omGyqBoZmAjlknOT8s3vOdj46SiPrEO
9++zuNEcoiJygkY5kux2bfXlIA48tvNtapL3QAUiHlPPjZ7rKvWObaT8M8MFgl27rT1dxcoCD1CN
VeCoyO0QYqad9TJS0HpXMmzGcZsalQjYNidMiLWcPPi8M1Dj1Cg1KpkP49rTIuwXDI7LJ3ieEPC9
uUWzWb7buZAnd7nWxKCDJDPqLMc3FyJHXUKWtLyrmBeTtmld6ngZs/MxTy/bPgMaip50HftXbJY+
7K7+UpL+FHb6ncu2oESdbmtOtTN1/hVanWx8EW79YmNPxSFUqgmsrEiCrjWgtDWfsUf8Wy1Ohll/
DtZ4S0xFsUFXkj6jf+wCP8qGCxxl7anpbOeYJ/5FjR9mM88mQVKaZn2KtINUHMb6qeybelOMjOIT
7D0bU3oXVu+furKTwWx6YxAls7nrS/deGdpTji4+qNIYLkjfRyYZsJYZ87UIsWx5OhG6YvkVvcmw
zWnvUQLh4XC8Mr7polHbAH1rN/6kT090nIBWSQDrV12GFElorfo/9s5kuW6jzbavUnHncACJLjG4
gzo4/TnsJVLUBEFKJPq+x9PflZRlS7Ish+NOPaly/DZ7IPNr9l4bYutyWzudPEaaYfzDfl/wkv1w
rfDpQFhJtnYuMCnemW8fsXpu6jBk9H7ZbvKnEfns3XIHH3VV+92+2INcYcuwyXfuptkUK/sInGIj
9oGffhko/+3e94d0SPmWzE5Fi9WG/aOF7eH774O6buxDaqfLQITHOSPPIQ1J76lGS4C2SL1NPQTA
wYSDuyuQ+kXoNsHR4G/kpPSqM/g6LyBsAW/XRyhh3rYVACW6roL7vnx0ieqGC6shmlumhzrDoSIa
opBcbr01mctiZURJjmVqAtMAb5X4ryRYCKOSAfQWb7+YBlg4sUMLbqzqruGh8CycRAU+LIuYc4uN
kl5tRjgrImDsmRaxsWaptyJYC541iSvjxOavDqGUtGb4PiR01jDzi36SpKDJilKTB831api4enL3
TZ1z/aVE+Jb5+P0hwm/WY5qsU7cgnUQ/6v1wiHiLGL0KQ9YlMV7JjoMAuV+DHFuLow2+P2Lk65Dj
+o/S6idfUnzfT/z1a/7w19SmwW2GNGwvsQ0+2lCCJviH66V191beX5T0/6vQaaqVW9e+nWG1sK1i
Pi8NOTJSs89lLD/oMWrJodVeg9TaVnV9QU19owfLJzusP2Kortd1UVen/4rjL8Uxf/U//oLrp+7p
f7iG426+fMpf/u//OT+lL3+9kA0+5uuFLMRvJpJcZkccVa5uckx8vZCF+RvjQIpciKK/hzF+vZC5
qlEd63/ELvEJv/avXPAMBrmMXYNqVtr/ioP9k8RFVZdTIUtodegXfiTIMc2nU6oL+yodMnasYV4H
d9OUFvUeLnG6Gwk5xdcG9aZGVAdSJDtYDWpNu9fsfRogMM1ngapl1NkNJOQzbaeelDRLrVtN9q5S
LWBHtYpNCRnQ1HLWVWvaKdO3Tg4HCAXX1lvki50MqMVm6AzB257XYeNbEIXMMnurvWUjq5Tkjrhk
MZCbnKkE5VZlKY8Y9DLClRdUhqMIb2uVuqw74IxbgSSyIJK5W4xLr/VegDUQsi6viIk5oJG4w++/
08r2g6aynYuA3WgE8lSlPhNi/iHrQm7t6C4X9vswlmTQSWp0S2VGG4RHM7U6mLLaJHrwiK/4qVcp
0/PA0Zt2JE9DcCDzCRA1o1+Y2w0np0tQda0Sq9NG4LvILmsEGZgXw4uacOuGkGs2+q8dv2jMxKRN
liMr0aA65ioZOy+7vU1Uto6ayKOWW3kLeXEpZjy3IlfbdOfjQtC2bKKbWSVvR11y6FUWd61Sub2Z
1kTldFcqsTvhFGVS+ZgyNWAeV/q22SzbcM4gj1bRJwLhGn+uyAAvjHkHWOyYsfXZEfpwWai88FEl
h8dNc18FkbUxm9deZYs7KSnjrDNYEdnOmlnOq6aSyDllCcPq4ZarlPLBrd9JlVuuedkeGNhNBjEU
Njc06YG4oo6sczskPGhS+ecECB8lgeguU0zCL8hIR2D4aBGaDvTi46QvNzU6QtYcj2OFD7ohZh0o
LrXTyK0HtvUyd+d92pLJ3lgqnZ2YdpbyeKgNm41JFW4TotznCAMpE/OtS8j7zKiHFXWj0FCx0z4P
KK7OzKnZ4OTK0dGhrs/Wo/J58PMDgJiV+YPcO4wgA44mdC3SBQWRcxqsdeGima0DPpjUIh5QzCer
OICEyAGz9TTcwKsg1UgBraJoPw/61cLLcDPLxN2lmoTrwzCXtE1xNM3ERJXgrcyaj1niSrtKwtAE
Ta+XGwIsMdHYtZmuUoMgJ8uMpwMCYntls+U/SjktzKHscYNvuUPSANpBp2AdMTdLPbzCj47+URgX
JuGX3KTeDR6tcN1myWXtcBEL44Fx/3zXGFr6WBgQTUUN88dkt2QETbWRgMNXjWOmWETD1WCBIiOt
mYRIhvcricFilwtPW7sFXFdj7IdLOApAV0uYetp8QQ7VJvWQPvcs9VZ9hiZYxO1z02s7A7THaiAb
snB6EiBsedSkaR+NMJPrskpIdEej/1EwZ1sBVhk3wMOJUVbNaxG52LvzptpqVQYZBInLp9oQH5I8
pwRu+W/HZpS7YgFdm6aZvStz0EqtlujMsOpyZQj19w2cfLVYwan2ol02jpcxbxRRO/0xIUoqGvmp
kVWQvFqejNncxXnQbUoP22eyNIy+PelPkcsmWPb8hRawA4zBIdLM27zIbyI7JphKsR7gY5wkmdGr
sdJ3sZ0+4gre9Vp7t6TDADYUvFgEKbYw0ou2bzC79Qi2cNTvgqraO337GppBtLa5PNbgwnhhkSyL
Cznl7/I2yc5eNFwX/EZZZwKuykvK7BAaHauKB8YREJGrUx/Il6kUBkLw/EhbwZDbmHYueIf/KoQv
FQI12q8qhLZ9+dmMm4/6WiPQmVO/MyQDSsurprSbf9QIwNLV/4xiD8nBtzNuPEqUFIreRNWPoPvb
pt0jEMt1+IwUCkzZxL/SDuLy/LHVYWggLJC1dNJEMHo/aEuH3lMpK854NTOPcjfRECSI8F2M1+FM
LUz47qlb0tDczMkwpPdGb2BHZDQfd4dqiVVkqLOk5xat97JJJtEtEBurokT3V5iO/WlCv4D8gNC7
hcSehiOOTR8hckbovXp6bnR3JM1gzuli1wrWAemryPSqcnRgpWtqjFw7oVhAU6YjKIOlRN+7cvtw
Mja5CJtlY7lGTkQVHnr2Tamx63Wkb7tmCC37fWZAotxCnyOV2ODAKRyr21faMO8nc+6T19GU0zZM
2NptwjBBLQwNVN9H8DmOWiCz5xgjJ+0xDoTVXM3DRsvYUQ55zP0c0c/ouYbZgzXp82CzOFyWHBG/
PtNP2TUpGvYcvTqjBsi9kK9UOhZCRBpvt+LfgWPGfjn0mLhJODxFIYgGqQ7VMM4JKe6wVrLcYkzn
uimndJdCS0InsGp0TWcsiXLEmGN9j0qMOoQUiSdDqnXcUobHqtGya4tecUXgibeTVfGSuou9MzOT
vNposHZt2cUbnahWyjYixSy7z65THWNN7QEZqgaxyut63EitpIKT5kuEp3zPHJLHYshM7JMWDKwy
dFe6oz1XKdxUZ8l6n9tV7qKmeXXHIMATT4nk5hR+65GJCz8TSc9lmbcE9ujJWmhRcsH3TK526ZTk
+g1+3CdARcCas6cc5xvPC+zd6JX5plVQznLM4Y40llyNfYBdfyE3LZfmh6xIBcdeEq6axtKh7YOC
KRkGrboKqEGPNWAHBqy+wcuDoCMcuxs3piJZZqPGhzbjs2FRmG0X3Zs2LWFpq5boi81kuIRG5cD7
gqlI90aG759VSb7/79h8OzY5lH5xbF41T0X4k9ZKfdQfxyb6CQ4mPpuL7PrNv/n12ER0YXAqCmW/
sInp+2bWaf7mqV2EtOE3obqmf/qjtTIxu7MikDRrb2S7f7V3wHvxw7HJUB+tBeeB7gnLNFQE0ncT
IocXcGRtcNF4RkQecpZSwfZecNKmWj8VbqsAIvrcf7SS6BgH8yPWBJKY3eSTOdgG8fT2CDmMbcWw
qU09YU/G1GZKALL4LMDK+7AZSPBBFtdCS4tAeXJiOCS9VGbzZGVB/MJ2PaCSLWxVIVBfF1izCuRo
aMfipEbB3QoUoI01bOsGXeZxdqFheukM06wHepzGFeb0hAkT+4DmVZMhSoU0D+HoB+QYCO8zaBDI
w+og0UwUstmAubqdeZWjJjxmPbqvpTy1tk424HhjmAs8LW8fmNqZgO+DEUaHKWZaZKtUvsXQbJ+8
sn4tcO+g9nJ2eqVdJ0Od3FaBPHWwZxFDywLNWGucC4KlfaGN6WZ2uIwaTktWrv3V1LVXWoqbcwx5
1WcL/2kJ9zMKEe+sMqfTKj825+Y1Nbu7ONPv0BzmNl6irrjWarCcpgWiua62YeVEH6Cz+C6Iq4Bx
5MVgZWD/S3qMFqeuqFzIxUQx9sCPvdnM74h0GLeVpP5060WsmybfFTU/bgVhkDsP8NjiOmthFNHV
AENqH1dJT+PRbrtJK2+dkaaPmEhAXiQ/eFBDKwGfNNYuyOhG1WagZ+sr632L8sONSL1t5kxu9QyQ
YcbWGBYvdNjKrZgZ9XTchuZx7xZk8vntzBrnm1fxJ1Mqpg/fjD7fRo4s7mwCQBxKAhLevn+wEz0a
9dSjwRJ6RBZzNoqnaFYosDktoi/zzf+WPQbjxl+UjWX7P//LCZi9tD+ZL/Gh3xyCDoMlxjCCnRsW
kz9rRw5BNjpqPs30EnP5N/oI6zeM55yNWIaY/Kgh0h+HoHiTTlBW2pAb3xJY/z8WPqDcdawnnNA4
TsD/qSfpmz0MGxXarcJLLvt8s9gu+OqdVT9884v5ydOIbe6751HNwlC1cdizabbQB9v8Dr79KnXA
WMpe7OSyK5M4W5dS5zH0IGr4gSnSTWK2DWIhYZANxPnRq5MkW4LTwPjlVq+imywGq2xH8XnUdWZH
6iQyZI811oh1X+eYGkV+6IfoIlbvc2+cdY6zdhYXNcfb1JhXqD6OesLBmasTMNFrb+uqU5G4iXkV
c1CSmzKyGeLsTDqieKBBvMbqXKXC4oglloLjNuDjJ3UCz0BAneOoLfkuGCd33WktrBSPvQivOVVz
2hUojYV1H5ieu3Mz2/wochikGtawXaynkbOJ+rrKNuWMu6QkDAeSFrDMfejBvDsYJiAjOmt56czt
TKsHtg+uBvlnq86sTHm/iNrBYS+yXaMtjr0zyhFPKg4Dmo7a7+28m4myhZV/JWuhXfD5qzXhlqtU
GXVLrdhJus21g4OIIhgpTONK/CeZlR77t40ZX4/tmf22SRNvWzXs8Lfll02bAWilVus3r3HcI2bu
8JEz2noYsICA6poRtr7t7iTCP24AYY/s9OhIHF8fW+99WUrgquhKNjA/rbWopghPCjBQljXzYRD2
QNJ77246fudnEHbtU8ugcZqBHM2TFCuvjg8ahpENWiR29GDib3HmHxOd9EqvNLxbZHF4fxJImnL2
kFJWhJ9NKbu/koO5jh9kbg9n/nTD2qnjZdN0LPdbxENMPKf46ECP32DaWHZdlxl+4QXWZRsNgvCc
ut055rAfrQIP+STaG9KvDSrs/CIusguYesU2b+Ibq7RJzetJnXWyfRmDXQ9N/br1xrvOcIf3OIvl
KzgDZqPp2hkn57WM+7Wdt2sWJcY7Xeu3odPBbS/Tjafl21QysZiY3LRO9bltu5cibl7mZL5HCkDo
0HD0pnzLAYIMfdkR+nkxs8EzvW5P8cXagR1XMzzrds8IU9tmxHua7Hiafv4EbYW6/VOg98Z6dDKT
Lga6dGoPj7YTP2eLY22cNm2PTK9C7EPLWeTiYIbiwqn69dinjxV/vrYzmWlId0OE8hZq+L7Xl8cp
aDdhzuqp1uuVCc4TgHehHxIbRoyBV8V23Wt+xlsb9vZ6ipeQWWUAlm/Q44vIcgCRBeKmy8j4G+vu
FIqJhxnGZlZPhH0H9AYyn08eL5Fesu3yGhLn5FlW5tmaygdt6fzUdu96Ed6wRTmjW/UH4Z3zfriJ
PCalotqIABIuu0Eij1JjlWCH8fsGU07Y6Jepln4sU+MjxqBj3KanMpPHpDdulpFFLAzDMssubCvx
66yeT4vr0ovSJEmInHXq7nvPXnsNU7mIVON5GY+yXOZDvZBcC1P2cz4HbCCjIlvPIZh1ezLTXe1V
u6DFIL/MWr399clLVfzXkxfx3RspBf8A///7kzeaDcICnAxAWZ2KDTGsM9b1OV0T05Wdu9wc1+4A
YLOMcrrG5cWo6vamrlP9nVwkQb7TdNs3yVmfgnXquQ/61O3qyHkt0iTEYQSngUQDAihUZuDCM01N
C8jRbnHzELFp1aiLXdntoeA9Qwbu/Thp7wUujQ1+cQD0OvCGrPDH2m+nA2t1prNBsTOSZiesgfSm
ckec7Oc5y+/Ahhx7CJFLmx3rHlxPVZ4lxfGuG2egZ3O8F1Nk+yRH+U4APS2ykl3IvbRu9fbWmnvD
ryLnqEce7zUaORAiBiiBZnqfxAOB1A7jbzGLKysmeat2KNqnOL0YquUyapNDOto7G77BOs7qQ/Dm
hJPsanMZbpGhbuywOmchME63wLuYjaesz6mhYQHzXZLgMbdEWjZXaZLdYg5nBIuvau0UWuybFc1u
01zHZjusc+JO6X+T99ZsYYuY4idPd0+x2rVOPKCSBUCa1gpGujOqHE218Zjk8zo34fd71n7kHDLb
8nPpuWe91geMFdrnwHAW6tR65fSImNMsNw5apc6y7hy7zgehZ5jmZni1jI6JnTT8BEMZGvPwylxo
cAB+KdZ0IvfwTPv7kry0E+qj5iKjkz/8+lH9Sy/GYhzUg8T7ihfIUqyfb0sEhrIjmvIcLmgfr83k
2Ij+HxbxlEw/FsWMydgBwV9DRKI0rN9+BdPBACSxu15mTkK+21Xcx9T4t/hueRKIEHfqrZdsfv1T
UW3/w1dVP/c3BVZfpV1lmZp2oc/FHd4llnX8A7fiB6Zb9GFIyfxO2g9OYB6GHgb6MEHWyopRQVVj
WsJm+VBq7jnuLN2H1LLNvNF4lpHlrnM9ee/IfFyH6XxyM+vRCdLpaGSm0/M0FeWmX9xiIyutXhsV
HAm3mOdDP7nmc1mQP4ZZ09zEcfwp41nd1Dq515zA87qjn/AZKd71Vraw6EjfM7kXhzwERjR3nxmK
77mU3rVNs3Xakdw4O9mbeqSxaKNCycai2M1Lr/s1cNp1M9qMkOLpVkQFjiL6tdoMnRWoxBMP/Wvd
jkS2V/GhsUhYG6130wLURE+PdleyMFIssDgg3z3pCFh0esyXS3JiM7Yu5kCszUwHURKknLL6w6AT
vhcn+YWMpl3RjJshWHiC9U3ahTlK+AoVSy5X1ZLIdZMFFxXM6NB28Xw6i0/nfIfalgKu0t71HaZK
0+x0f3G7HdIcDF19+eSENdbo/KamnUO+jo7FOA42WMnBNvcuy5V1hSO6mKP9FEA1Hpr+snK4I+Gw
H5hrvcha7/2ASJzatnZhZZ3d8fd4q7/VmrzhqP6UUr41ft8946oQ/+ZpG5nCDAIs3UVyLq7DS21b
n+p7Qg4PRDueJVeP/0mMiF2Mi+Lj+EVh8LdfXE16fvKCMVRBZIp+zFMv4DdfHBWwLFIwbRfV2l4V
Z+FXW1zpxkl7cLdkfr2/0vzzw7Ah0m544v9kl/NZXx3jbXBpkvb1D9/N9xffl9+EibTMxo5IG2X/
0ALP+siOz0iiy0i/Bj24ivWHZvgy+vvbn/j7M+uvX+OH+dHS5Hhooyzicn0JG2Iib359evz0Z3DZ
+TM+M8GH/PDXzCdnYQlZc3lr17XH+2BTc345of5r31U62N+37xdPn19+JtVUH/VH506yGQeybRkC
XSQqjD87d5wNOE3p3enYcOc4/KuvyhBi0OmloWdy1TD3/Hbr4/xGsCGGBz6AaaOabP6Lzt1y1OP1
58uOblriZUNGibYNIAuD0e/fN+APcys6I7wKvJx2FkB112KMzGBWE036UMGwrqbOWy9QrV2Fty7y
kKu736NMfbEUAHv0bE7GEX+rm53QlqEJ8xLAaAPbIfjZ6rwGowCMSMLWJs4L7mPseRsrrj4ZPVHP
newvuz70B2N4dCB0G5C6bYXsjsPoo+Nla43m4Z6rXN8XVG9hPga+G5Csyrddbnso4GWssT4wxCOZ
CuS1KlQ4yGL2DZpjbQkWeR3G9gULBZBe9BwbWSZYYKGOl2l0A4L9aYFGrinSqKcA5aVNR5diprcV
vLwHEryqgOWvWrd8lhDOI0jnua1DKR/5EXuFQW8r41qDi55kRNPCSU8UMD1pCJdtY3ENu+FaL8xp
FccZae8KtJ5RXewcqxqQcI2fIH5jMjP6eJVGkhVEZKP/1pN3A/R2tN8At3W8vq2ZuWewbnctrPc8
N27aYmy2SUZ+ggYPPoILH3XTqSqJTnDHCAIg7PjQqBI6NHbU6LTLVdnbEKDjViob/PKesJFiD96i
hwjmJshCwNPjgUm2BA99Zj02H8MhItC10NEKKLC9OUptU8G6d2rwApasWFUHwc2sgPgRwLftHHKb
elkOtEmB8wuF0C8dbVcqIFjsUsTWH2esILs2NNU2MKI5DV2QzjD5YWjij4GYD6Y/APZfQ0FzQfhT
F3/qvIjMAIX3x1+XbzKF/J9g/2dkADhhU13EaQUhWgUEYAzcJjF8Bp3sgDgwus2g4gSEqG9p/KK1
i7RonajQAdnjF9BVEEEj5twP++VT3+gmEPIeUIUKLkjATPsgK9x9nBBrsMzyAvGJt5aT89JUBEgx
9L8sxq5Aa8yjTE83rcMhBrMfMpcyNOeuIEVhUHEKMT3UqpVutu/aCdZaOBJOTPxCQNfnqkCGMcd6
gH4KTYmKa6jJbQh0xDygHKw9INZHLxHPdDs7V4U9iKm90HINcIMmgamRCLFE9fPsWcg2R7cmo631
EATOS2cdGS4bKlDCpmOdmjlfmSO5GNHDFPLOi1SWDE965uiQIWazM6/dMX8kkL6FSB6zUm2J+MKq
dz/Rb9MZIVSYYg0HJbD0siQdOE1LqKf9uBszTBJxiVamiZHKRqFzgjtZr2pJdhgQ7XdLGVw1TnXu
J69d92XxGnf1nTCjQyHkaZC4u7vktCzRTtA4R1p0oSdom8qZpZ6VIeXOG+tWL51hbfB5t/VknKTJ
1Idm8AD5TyB25Rv3wn07WicWpK9O527bFG5jScBNGeTzsdTmJ6GKvNogkKOeuhEM4OAc46Xbyimc
gp6Q+657KMJ6KLdTVFkLuMSmvDPHvr2nlR2ZTAiw3o7eDs3ejKX9MUxL+9i1VRZeE0IXykNXa9bH
IHREcJGQRrzLvZSEbi94MJhMoM0WPBpBmG0Cnpe9VQIdHxPEIyPP3cauaPp5Ch97q98vgABWjAn3
EdQTvOeIOsY4JLujDG7kslxNRd/5UKYWH0nfdeaElNkAFjZ5FXM8pZlAL5O8ho170ziI59g1bWf8
Z3tYnJnvVu4tMx7mCcN9bUNB5y3eyQBPl4fOtNaXa8+KT306235V6U/GxDleFmQCYXkxRiPzuy5o
93WmxTxrwdWc6sKfO5ijGpSqVcG2PD0UioTfmsWTWw4sx0Tf+C64/DhNngX4/DKZnidw+kXNXmsB
sA8/hfdQMfdd4Pv6dC5Q4+fpXiLIKpYd3dZOG+RVqLj9AwB/B5A/dC8aasj+Loh/g4INoiXuzkzx
/918JJsQNXmksgEalRJQqLwA8lZIbhYxjjdccTOhAuagG34+svcVTn0bJ+S3Z417Dqr6ulSZBLVK
J/BQotWRuLQicgvskLSOpoGTSaRB6pTXJREHGnB5v9QdbAbDp2QkBWGcstOochHoyU4BvE67luyk
46tZJSgIohQqlanQJ9U29nRCHSTJMXBriGYIfUcrjVWPwrLASOsTq0i2WrbGoXjneqmJhsl6cQZQ
KKNKdTBld0pUzgNSQof/cNo2REBYKguijyNUacRDgI/lfEbDmA6k6WjxHejsp7p3D4KteAqYeSBn
IjX5U+sQpxsVQeGSRZEb4UvieXubjIpS498GpFZ0A/x6UixyEe3eyqj/6knVa/2qnoQN+5NFEB/0
tZx8ExrjwmPIwToIoeI35SRCY4H332EZbSiD3p/lJJQxkpPZG+GP+12e/FVo7P6mHLQWGyImGhbL
lX9TTqIa/rGcxOiHyslCSMR3wSf8vpyU7JrIfNGXKzOP7muTeidjVEHcQc38YMm3snZ2Bg+RPWsM
Kbx7QI8oFXtW1rnnvEskQZRld8iTBEODDNq165LftYmZrr7PSg9QgdBvQq1oDh0HIYFDWaI9CzRt
aHoMc4hObjAALLMLneyZzE32bcedl/dJf6OjVyRtwrkbU9WrE6FFtC9KkMJcV9FCxvxUvptn7R5K
5XuTkmilC85kvaG+0GZSQOXRgPJLJtOnZjHZkBfjKiTCtUrENcfCvRjaYh11vFlBp6Z+DZjioHid
G5z8EbHAgYXeUjRMS2wxXXWN8VRnFAv2YBJeXUaf6zFf1p3OCNub5CbUOzJdysjYpnAlsNVr1nwY
p1LzUXaejN69MknL7Y3otPSKShW5KFMjZuRiODVD9RDp3qNmuYCPM/MGb8+msyGJxrjmm2R53zXj
duiN6tIIRu6K8lXo+DGa+NbrVUVKYGwV5gcjn+/Ttj9p5fCqN5Skuja7vjDNHnEqskVNSzsQZum+
btm3m5Hjk/Mh1oFgQmHTxl8JtFIoa2rGUR35u0QE+52i4ZcJS5ccfdRGpumCXoGMThwan6IZjJSJ
GLkLEn1FSJ5fSMGJZe77vrkKMuAsJrMlMBFNXaHhcvp819ngglfk6BygOPlta190E5QbsxTCj4ph
a+nBcwoVFJoZQWw9hV8xPYVOCauKu6jMPIbxCmMcISuNTO1Jb1j7NwOhaQZQLgM5OaAeecHaddhI
nTg20UcOycomJN6iuYtaVjug9JCHwoQD40NSMjaNfTRMCzjdzOIacteSan3HrLbbZjz/lz2LSFez
DpCu7lnQ7vVe3I9DZ/hh1OrrrhUGswyRnBHPUd6xnd9ENiTJYCBLrpiIDwJSHexmw9Avq8kUN4Cj
qU/TYedZFfOv8JinbUAugXhirGEjRJ7jK7xNROXBwJhlvu07XFrIVjLfHovnuS23Yog/lCGZBx6o
3JAAZD/JZrxqFpTkKf9yuv/txOOHiYQyMHHa4MvHza8M/D+0nJU5EXGgecZVlr9Prc+2vf7HQfBP
vgS+HvzIOmekzvLi+2NorsKpRSZjXaXtc59ez9W7wjv/d0d9kWwx5fr1HVWV7dNfryk1tf56TaF1
xUlK/oiax1twab65pvTfMFmZX64v9CV/3lIu/lTGaX/wcHgu/rylGHVwpbH3tyxXjUr+xdDjLQ7g
x6EHVx6yLctEO8ET8v3jkTRaKtxFRFe5jvgbfiT5EpOhR/JgN0URXpdUyselr52PTmSNDOW0AscD
KV3jY7O47b0XWeWd58X24hO4MRK0U7jdQ2v2Bv0DQ4iNEyXo7WPtfhIcPlO4WH4mROqLybmWUEx6
0oP7AXhrNj+N4fJEvrPFm3brtDInJk3fiSyPOUDp27FEbqYBbr7WHJkuw+1qcROwkG19kp2f0rph
HD5ib2BZqeKIiN+ArZeBhpQqSGhSYXJyZffewQqbZjUgSqpy59Ya7Ns8dox1arIdC6bLRYJc9Abu
paK+q0zxMZIJMaMBd0VRIGJCfEsIa+zlPg5ZNmSWfZs47nmQ7QeRgw1ziuwMHvzURyntYiDIs2td
KEFNiFNirKRfLentUFcgO5fqwmyGcrUUFOuNMqw0wPXJBlQehww7Cf7PyJ+KMDsXyD4Xt/oATWLw
W0Ov1r3evCxtM+MomDLAgf0+a5Od7uV7gy6rct2ERsbzgZpP2B3FlhIWH0jC7wB8BUDAQdr7uOCf
rGHqof+V90WUfqacvpEWCMQq+2Sk0TunJPSz6xLrTI7oAS/GTVypKBrbjXz8UMEqBEgTKn98mVm3
keO8sxoIYuwCPjtlcVqQOlQz7kXgcXQuhUsQ4VAmBHtOJ8yPfqePmGHKYpfFGhtkqye/0hjwRxT3
idOy2XPGeEvHtXEqEp1tJGPaSBUQ6XJr1e5w2athjju3ssP1cuhSJ79HkjCtm7S/WQbuMtuMLgtI
6CReEXKZzP37Zk6eg2Fkhh9hybYtfes28gGf+Ac3QGpIQZLl6Mwm9W3ow602w+cJlqssJe81Flsv
uOZhLS/J1DpnXnq9zM7H2GF+UIAY3zYT4egWbS7yxfnUOTx2hp2cS1Fy+WFkjDT5oLlM0jp7jH0j
mQJfaxSCPr20q/yKWNYT9szroWWW0SmjUOhaW82sP5IGQyyqeJ936PKc0j1Wg3OF4NLk/qc08Vg7
DzXFY9C+w1HzTA7mReP0L7hb37WdezBIQ0yG1DjoZD36Xea1ZDnyd0DB+zkzRl6xBfmynDKMFYVz
xQ8PJXaMPtTwO1eGnl+JwLhm1bKtvfRZ0wJflh5gzgj/RW7m1wo0TWtG2Zl3xUPkMF7n2hToPYvs
pAEHBxsL6j7AF+i7OQbiIEg33ZzdGG3wISPm08cWgL6d1asnl3NWdBe9kTKNsR5HJ3+imiRnjy86
ipukitdZQOIawWFtpu8s09qbFbw+cjouemp7gu1ksUWbt7aEomUZ+NTs6Oj1nXmKjaa4aQk3gOI5
GEpUUBD7KMwFvlSNyiORD31eZAwKcyLhazbs2zrTux0jK7bIRQmyZbLE9TRbADdj4zLixfL5m9sw
talM7AEeDrOW6WGpQfyS9ZOdEiuxdx2/gs2YadnewAe0Aqfomsr2HeqrwemifaeZKOfZ6pEFW+nG
VkuC353T/7WSgkn+L67pl+Jz+Sn+WTK4+sCv9zTtJGAjNNKCUu6N+/CnJ8VSiwuIJGRcUUWpXfrv
2wlLJxwH0jWwOYfFgWWy7vh6UYPBY1mm/x6n8y8uaXSm37WSLNt02xQu2wnAMXi0f1y1uzgzJdYO
7crQMr/vODV1a3kJRhRiqY3ctjf1LWqgbTOHeUbqZtXcek2u3Qh30ExK8bJwb0MmnBIn5UxuVWs0
Dww03fmTrXFuOlGQr4QygSWkbq1aIZdd2I78E+3yDs620kNjIAMLM22GSvO2De6yokr1T2GN4awW
U7UtlQlt7LHDDcqY1pX8t6Yyq/WpaD5WbwY2ZWVb4MQfx8I9JklDCC5GFDLQWFrjgOsF+d2T4I1Q
5jgaEmwfqtnANzcrA13u2hsOiOFSKnNd3iThxlOGu2bG7TkrE16TskeGeL8yZ7IqJBf1SijT3oIw
B0lyew21gfNy7rJHLr/5zjAeYosA8FZLL0H3Rms6+htYuCCKcQgCZaZt5GgcWdC0MRmXkhbd6sh1
lspg6CqrYQe381i82Q+VEZERq75p39yJDQUDByqWxaFCacefRbsix2Ze2TgbCao2/Y6sxlqZHtOh
nG4Wju1d0VrpzYQ3slQmSU/ZJYM352S6LPGWKwDbrm8WJK0kymPZKLfl8ma8nKb/x96ZLLeNbFv0
X94cFeibwZsQbEVSpKheE4RtyeiR6BLd178F3esqW+VnR81rUhEVsgyDBDJPnrP32qa7pKuOHTOJ
gOMsQOgEt8S8l5vuPcmLB7vYFXXXsZhhlAxsxT3GJkjCResFx5SsCrc4apUMbjQZPWcRaSZRYX8K
a9QxPYTRFd2T51Rrw1XQll8pM3K/VcJDFkRk9yTjKaMjTyxQ/jWarCWyhPY04k4FQ2I6vlm7EJYL
yCNKZ+/qrnKudIvDbpeMt1GCt1DP840Z8R+vpiU8WNJdmOOM/4olYCFr0eoyQATe9bp57KxSuRoN
B3ssDp6z9R7vVNPKVhtQeIavN+D8YJi3B1g8zKV40E7YWOx1XVnV3jZZxBUhGMQglkBYJTfgIl/m
02mrctIesfFe9QPZosj7tbVlBi5B9/layb1XXWkI5stvhJT3gWIcm9JBV6Mr5TXJ8ONOnzleoZi2
isUpP+dEfqcmQbBy3bdWGfZxhgDJdA5jJLyVk0SbahhXNu1m7vnkjsXBgi89dcre0uJDHtGsjKUV
HAuX+UNul8ZaRuFtNA4hqVTZrk66bVrxJbkRtUBPgJ+SOMGCIcanUPa8gXZ8GjpByk/BZqy0XQ5y
lZBeO9t5rbVy6/pTXuMbQJ2HK/Or7cQsLfmaqn5NkomvdhyGQ522DifkqEx2DghLr4csrZHXF7Xo
UOjn3ruZeqJouyflxyXGzxM241OsFcA0vpaVdrEmuXOINjHyfGW3MF7UaCDWO/Vxzn2KbGNj192q
AZqP78I9N2lxcYX+6qW8w3lmvLXeeDEVQlLxKBzHaoJjaPol3zECKrzWqM5QivkdycSI5fIvmJfu
ALUjMEmTHYyI8ySGUw6OG9P5LhjE1smFz0JKYWGpN6RlExI6+jqawiKQSwjjC5hZG4rFLckGfl6S
N9UMa8WatXh6/MV2pZ8p5VbB/pxGMLlLcSpK1V0VqthAD0X5JMOz3uLG7cLtoLrLXCgHZpfrMYvp
LeuLMR38ilcEW6QfwKKhGwm7PHurszcRyAuBrzyRKtHjdBv64slietVMIC1NrkFXxwzIQiXJo2nt
NccWGu/DxRy8uyzBgeFluHGJut3kZu17AXh7kn4wjqlr18u/jugeWOHWDHf9hvhz28UnHjbRjjbT
liiNJ1VrKbHcW9sun9youYTdeCPz12Is3yqVJBescwvHiNdgjNdNQIZ2aK4i4nFCI7oxIBSLzrhQ
bH7VlHah1+pCBdJcqupW8bqt2yhrNcpuEzJSW0u752izcAi/WdhWuQoUaJiqXPMqXjeeu9aM5soI
Ri5YrcKSD2womiUkkALOqv6ll+KJv4ppNqCusTFLQixB6jhR78Nt/dQUDb0yZQ8beTcpDpJwmPtd
nZIQwyYRlUFFBO5Iz8t2NnpL3KssXloYBmPp7BAi4AaEJSDaeluApleHnKOZ5aGh7J76Wn0UdXIR
isZwZqDaJJ1B81Zh0W6d1uLpdECTdTeQCPclusdOkbdZ7GzdITgFc0ynmV+R83CMYJaQrkAEUUYi
eTDPOXroNe5NUnsHQxueSxs9a03rUPfc+6C2b5q6ORWNdcGRry7gp95KGkVdyXSxnji3Wdkhs7Af
IYha9Izd63mhmsTTmLZ7vbY2ZUl2GE3UBAh808+OsoLpS3Ffl+OVpou9opPPS2Jz8Bl3a3bb4Pbz
J729qplfT31PyzJl40leGWLeJ23OgATx5sJz2mcTabgOHS0RkBli7dXOacu11VNaRztV106st7gq
65Q+d7O3pln4RQS3P6nac2Q15doz0ru8bsHaDukmNbRzkroJp1lamqI31hgstkFq+72u5Kt4En6H
r8EJexI9R30ODyU+tTgzi90kwXA1FONrqaCDJyO5hdM7I+R4AwiXSDpnJWW4qiMFmA0VQtpKP8/Y
JIBqbDvFfe06aw0YdhN2zjpWhxXtRtafhuFdOEzrIS/2Yxvu69a6QxKBf6ElHrThfEZsADHKylWh
kz2mMo4yaStrYpcp7XGiRdLU5RfpzrLexoMcN2Cqoteaq2x/35W057+je/7e5bPQiYEtM41ZKfZR
ntX2dV3LuFBOas58Pl2I9KIw5/r1RWbN6F8Cmf+UoYjR6KYa4AcM/UO3EmmJaqPuUU6D+7lmxi2f
B4Eff5lj0v31lX5W8H5/pflf8p30TQRi1IhhUU46+YwmxyUHX9u0E/ZDIl9iYfu/vtxPPz3eJtw0
HAaZG/14OZ2RvRtkIjx3yksr91X4pci+/PoSP7sjqmWKZS5jmB/FRYENu8Iby+hMiGDSb+Q4rjJy
ovNwEzMW0dvf0Lp+ckcE83BoobFMV8/+IM6dZR76qLbxGdjlIjZw/cJLTX9zTx/0evOx5IeLfNDi
NoHSWnbARRK6aW19SLxo+etP7Xe3Mf/8u+egaydaINBDzshabFTbqbgLkMj8+iJ0YD8+1j/cxodv
v0zHtOzyJj4PCsnBlu/FZ9C0LHDPFs295qTL5jdX/NltIa8CiAKKyMKr9uNtpRAA4yLR4rNT3VRq
6JdEfgZff31XP7sGsATbBOSlw1j48NEFlqHYblcn56KJVjlR54Xw++z+1xf52UcHeZFpCURuR/9I
DBN95DhxTNJiXT4X9iHipJiwGHjBbSL3JnqXPrj59RXnZ+rDGsQS99cVP3xZ6Lvxg2gjMjKmWDA3
DQqoX19hhld9d4kZIGFpzmympiFu875+WHzIX4FkMGj5OTkwXN2xeR4hBq2sm+hi+USOrokQXP/6
mj9e8n1l/eGuPlwSgWA+YM5Pzp2NAJzeow7fVxfbX1/l558djX6VndOCn/fjY2dPmu20qNzPQeX5
OoohEot+fYX50//47SDv5GnzGDoxSfvxCiVcWUSUSnJ2OPqOrk61+RKbIePh5Df38rNP7PsrfVjg
GH6KmpZmctast8i9sYLbavrN8vbzSwDx1TwMpfBFfryZWEs715zC9FwUJwvl9RDrC13av9nqfvYK
8bD9eZUPX31ad1E7hlwlTr9kymwWX9Xm2kqln7ZnJd1k1m++o7/dFlATx2HwyBAJwYP5YeIDJN4h
SF1k57bbVPVLb6+q6fLrx+BvD9qHS9Bm+37ZLkibNeyoys79VGDNhoSdWL/52H5+iVkSjBvWo8/2
4yWSYciVjJPWucm+KNOOIcFvLvC3R5l7II2C4eycV4fu/ccLsHQ60B2n/Eydl0t0vckuxqpZeG/v
n9W/Xdk59u9XXdn6y9vrT0an/NafLVm6qxbdVQuj3czH5kffeBe69oduMlH16Ieyan3XkjXg51MJ
z4RQjW7duy7oW0sWwTjzdodxp8EMRSWa5B+0ZVGZ8wj8tdq9C8Ydm4oRVhE1o/mx6DYUnV5IlaYn
TTXb+spr41L14y43FUSgqYOgxGaa58sqqQjYSJcSVzUmh+2w26lBsilmpfDcgmrdB7o6sHfj7g7q
Rr1Xh0xET8EsHrRb6HAjhaufvysLU6S1YHm2pW7hsUJ/KNLxNChZR72ifwp4kH2wNPsSzWJhD3iF
UDEOqBnJgZ3W0h0eUHi/2qVzKQ3BX2BM5TYcLDQwrtiajXdDrubXTtT6Kk9yekgaEsqyb9P7AFUl
cR4M59QRR+ignVyUl31OEIc9izHDWZY51O62s0soNGm/DWz92ZwlnL0gUK6bZZ1CVN2KYiLZlgY0
XQ+jNEOoAJVmFT3JtGqXhVWmm5BYKOAOTEGMeR4i30cj/TwlQWTCEbh6H56QGYR/fJ6oRBFI1XSe
spChmO2hO4YXZ57B2PM0RsxzGYjf1imeZzWhxtRmZHxTzXOcaJ7oFPNsx64wJ5EB3ayj99EPzFbI
YoyDgnkuVMwTItB5eP3mqRHKGgZIyTxLCuapklvWnPxyb2xC/g1FFV+ZjmJrOy+ls7zW+xTSo5Nq
n7XKMJdSKiAzkuQYgTuGRobuH51OBGtuzuVdq1Z+Y8Jc6/1hFEAY6/QNk8Fj1aQHoaI+z51+kyEu
9Ql8gLSiHBvMzQTNx0urzC5DVFyVev2sK+kh6TGpV3p+R4xiv2oj94uJhlMPnesiH5DLRq2TIskf
Y31lGJ0BP9CKkukIfKtYqATipCXQdMPsArra0U7m8JxJ5C4Wg627q3wKv0wDy26gCsFhmw6pmOeb
lldEtHutL3Se63m4mvrQQJqlATJXaqRw5uN9OLTDEm67RZ+sS/xxpHUPBfO6tft86aoW+twwj9Fd
huir+ZMAChcRrRaHA5SfqrMpw/JS353MjoTuuFuqg3rtWORIpDVi9rHEZ62q7d6OB5I6LVrXcdYo
CzXXX+xBw3Uxitt+ZtJ7I0FUQdE4iwp4lYeEeTFTvDE4OG95EL5mAvkAb5ffJiMGVwobaaF2Gzua
4SpyM9mM+Upoc3qD6L21y6OvaiaJ02rdAva0Wko5hYYw0urEEelV0bTi7t/94z/iG0q6X+wfWG+p
5/7Dpt29/u//QHM1CIbml75tH++UOZdj/bw0M7zjR99tHwhHAYjoGMHmwd1fEz0NNB35ebw8FLGk
ZP450Hvnz8150wbJCi6heP9IH2rONdAPmwewdhcIj0YcEaand8bHd0fbSlTIkaMkOleSzve2eme5
Wc5JAxLG4x6+g97IOeihvpEhrnoYaGYc3IhVsl6775i4/h0ZR0TTFjCaEXzCZJ+owKWLTNlz04Q0
QKseyUjBwhieTWDTOTNtMyo7X5P6QE07WVMW+1njBTOarHAMzEejjbmBVc2joV+P0pnw88ZVtHXQ
/ZPilFjKwhiAV2yrsPYSgLMNe0DVZ/UpxJpAq8EYe2cVutgTFqlrYz5ppfJmIajb/Pvovz/F88Py
/z/6t58KqMx+9ulnhrv5V7+9AHORREzkfNT7FhT55wug8yMeflxzJolss3j6L8MddS++Ouxw30qr
v+onzOSG7tk8sbN/8h9hFs13bdkPr4BLXiTvkokEkqu9u2+/ewUcLdQAflqCLh9ALOazuq/1NMaG
oWAePYQaQYjpOjOYzuSFXjLQjJ5zz7nKO87gPE1kj1w7BAnxRJ4mJVipJtVWxkJ7oO8uTkCYH0bV
fHK9Ul26zQjzXcEBNaZ3dh2cErXFy5+GKUt34mB+MyZ4eVNSqqsMxzZqnXk/0dhYpnmH8ea9JmLa
Cg3DRcWttmBJ2ZKmeW/SwnGpsVlNgWBPmfcvOe9kBPheD/PeNhKEBFWgsQCdsPN1nXoPsWHpJOOq
n/fG1jNT337fL9k47XkHLee9tJp3VQCDAvrMvNMWyRcv9tzVOO/CgFFTNDbRDu1YsMvmvZouwkoU
irpRGYzuLUvpD7zXkHYoZtiTk/u4IvBNyRDYIu49CaX15+1/0U/Egtnyjtfc9rO0ured8MT0DlCw
0YMBiau1UQUSqwOo6ULJSr83VQYpDN4XaSWPTPfpzY0Cw16nbMoaw2ChPwA6vHgJU9ug5/gH8GPr
GBXupzR+7TTjGBbT9aQzvZM0tTF91ACoFT+QQs4gtoNEdEdPHWAbWQy+Mg2tL+a6sBFo8coWHH+m
27uktW/SgMkOrktG/FO4qszcXfeK+FLp0BZ0tbnWjX5lVhjviMHL0RJqmdwbxkQf3mz2VcczE8jm
XMU2Y/2Uj0btqFdNuMhNEfpNIjdVZRwdK4Jn6yE7r7pEbFOtWKalsqkT5ZwOojlOVK8LC7OXL137
otv60SszTHFjN/hmzgRcTxlHGMTiLTKzbVZJqmLn6wNmn83d4A3RukuKY2gGL2PFvDBTXCQYhr20
WvXBrKqXxGAUqGXJcqxIonLj8AZX0UEb8uUUDqRUeK81DVJa8Q2fYWPvwgq/GjCjQyubUyyaSrkR
uFKnt3FAp44Ca+ml5QOgyorpKfO3eDKPhSQqOGm9Z5Gql9aqX11U6zWU5HIK1yHcz7LpOeUo61rV
AblE17EQV0PSXDPyOhNpnS6rJpKbLJA4BQLr62QrkpFob0AXloGDzK/oplvdno5hVRNzlSGpCMFC
oQKxuS4I0Kze9M7UrBjabfvJONfWc6NA9syld194IHsTpjD6DAtpLaJLUVCV01lO5Ex0MWWZJW9Y
7BZ13y515AULJab+CqrgbDQtZHYDZBPGICHjC7R5PxjD26kESmXXksbvwARdB1/E10UuuxdqhEgw
tl0bqb0BOxfO/q5ZJhOR7D1mhJlKnpyipGovMB8tcloF7qA8OWbxVdTqK/Tw1Af79wC2/GAhoUeG
XppL1IgYimq4NU5SfnalEhy8FNDWAMZpVNVzLhAeSKfSTuQrETXvDCvgW2+SyO5Fbg8Xox/LnVF0
L5rI15WpPo2xAzQU1gYwiyXqGYJVzcbcEKPwWAyeXJLIC6Vv3HSBWKplffZiTkj4WqeGKsCqyIN0
ZhSLnW4F0dlXCFnuXRksuXLnIxm+0ziibyKLUJSp0spVOSTDqlL048BrcIbwfrHGZjtkZuwXWUcq
LJo/fRb7xARpMnyeYyQdotvTxqSxXn2KqjL1W4oYTCnZSnMZIHlfYs6joI8uKZ8J+4DGiJ7DV5u5
55wkFFgYfItdyogtcJDtTugm+y7ZRFXlUFdnAMRa5RUkGjqLtFpa8yzUCq8jgm5gXMTd3lS0YsUX
Om4xnFwGcEFaXkJyEmRvSBfb7wC7gjFduBtIZA+UZeoa+4i6chYwv6jNFO9YjhkFmsBfmfwqEVbN
ONjY01jjVLAlpxQNSn3YfEn1KPaVBk2SRd3UVRXBvVbNU1MytB0ORBsnPmLOjSw4G6XldS/o/Zda
fwrb4aKOYkX81Li2bGcvKm+raEp/F02jXPdSf0s9CjZOJjd5BKJ2yibD/7ee+s+pgPr+/6+njuKn
2kB+51shpWENQ4BHM1BHkPF+XPhWSHHIsC1OxIy64U/Tx/2rkEIAONNaOWPQQMRxRmf3WyE1B+HS
UvQAF9ClIi3jnzSiSM/4eJYg85tRBcsMFiimSvPPvyukmol2uLSkfR0axXQg51QtUYK4UWUulYEI
z2kxBRL7qQJGNVu6beAIxG05Hlu4qO9iHjU7ujJWc6QbkEMd9j1MSSbSDEkrYhUCdUMSN/VWxmLd
InJ57CWO6+WkhiaLYuooXrlrzFqjSOsse7iRiYMLNVJEuHasWvHlUDzqKpIdNJRbspBcgl67dlF1
kJXYNHPmk0qzDqR6lxT6sS5sYH45zLdRveDZwUGtDSYK/BJPf74vquCg9cPDCOlmASya8J8y38hy
h2wbJUfIKTy2k9hPHZJos8Hh9O0ytZcBFR5upMfc8c6aSvMlI1NAkU0K14HNmUlQif+GNCyUBPpc
qMWye2pRlFHgZUSCqxZ6nvHcsFCue7sDFAUM1Q+6qvUNZxqWaYtyAy4Rma4WAgRX1VeQ4ohlkhps
CLd7Vcxhj0kYuxraQD8PtNdhKIUvgaLCUNzGFtocQrkPiauDbSVwApwiCZlVf2gkRVAX03eYhHGr
IFmvHKmvgzTwcyXPsZkH5Y65VbgYTHGd6OICrtqn07+PsfhFA226DkG55pDrKrPP5ljiL4i6ZWug
tsxSMvZMXIhleGUSRFWXLqbZAG8fNTms2UykaxdWLjL09pgriNzTrIZiBtVPC8NHiSmCyayHUXc0
4qVih2eOh5CuvNbXqvaqk12Cibp+DAVCvym19uOo3bbhsCJJt4PGR2pmkVzCojvElrFMnVgubHuK
MYWP2aLE4bWt0yDy1cE7U1s7K7cy3kSmNVsNew4OR3FtaSScRwYSfCO95zxE7VktRFmdlKhEIOSl
Oq55zqpuloCJyB96x13OvEqpGs9qKQWluLXp+ux2SK0dhncgv7OKjJQwyx+bBNyBqkf7skSxZXgT
PPS+fyzoLywTvX0cgv5BM5s7s6GNB399U0TeKWksX0kQMVrt58FBuwSioqfUTctllWogO7FNG628
DRIMlyLRJEVFuAsbkzqjrS7Snp7RwL1UFh6QIR5JZE/iilAQU/NNVd53MQoxLQU7KezoSlHElep4
nwqcKws1rHRfF9otk+d1XJt3ZaNuFEOce5UaaYiNWxP6ydKNVMyBg3IdRuYxdkrFJ3J1PcQZiljq
H5JQPuXhNGzJTNnKrjaBHbmeXyio6undChKziucE4C+fD13GbJjcvaeO0DQ0ZDTqVM+J0+u8x9Ie
6Jj/ALPaC1vpSaMeT5pmonijEBJ1dY1P5R51V3SFIzRb2drwlsbeJTFByttGGSAZGqBFTOPXnlSq
RdcB+gtC3fSZceKkaWaSoQPdK8jkLcAuHh0mACSDKCA+ynhEbScs6rBom4bDJztqi1VrF8VqsD28
AtVRU8y3FF3iUlDDoB+GkGCBSgAU9LUGnUCNsB0n8Vy8MxWAKzgzZaEEt6DO3AUKPuArEg/RoJu7
EJj9gmjq2XyaHDXADcQsb0ZADsBikXcF+zxLdlFb3QZR9bWdyQ9wSw4jKAhbKe/KmQ1hEFW3UGde
hDeTI+qZIQFhfuXMVIkEvEQxcyacHuJEhrXRmhkU/UyjiLv+wZv5FFLAw+9mZgX5K8/DTLEYwFmk
M9cCOrzAVauDGgF6ofdv/czAILsoXhWjuY/s/HkY+UQ1D+1a3+pwKMXDe26H0WDsNZm1hsAixtRB
GmYgkGvEF1jgL1Otfu00HgasI3dlzRcGOstYWllLmR8W1brKnXMHzYb0Do2OaK+AhO2u0YFeuFVk
49FpIicFse1MEesUfTFBeHHY3JeRq+4IPUecGrjDzuytW70MniIH9GCdxW85575FYPa4bBg2bpu0
uzcKMIHobSYEqu+x6v9WSe9VEg3NX1RJl7h7q5v4lfHmx6br/It/lkrmH7Rz0FG5KhXJ3D79s1Ji
MMe4jK6Sx+V43f+qlPBXMMLDIcnEDs7T93Rm4w9msEz/YN7+12DxD0Z273qU7ztODsorfcaXebaN
PfujLCrSCxSa0qDCEFVVOgclQxUK7Ii6PFeXnpmkJ0/qRrqM7ECTSHDltNbYrRyOGAyQEDtnJykq
BULNoOwsqzCOMlWIrdWbYp/DjbodDbggcjDLQxG34ksbtv2Vnvfpran1OLtE4hV+OzhvgR6bW0Fs
4Bo+58z0w3nxEqmq6qGQ5+Wu+5INNNukukaMZFYQqAEU/atixNNFb+xYImNlfliMWsacxGNcZlfL
QU84c6lJ7scRo508l8GdjirrIsnKiW7VxCJpj+VSq6bdVEbEktUYYmCCaGRc02AjkLNDpNwRNQDp
duxdMX5CP9zd1LXm9irLtW4ugwmt9zUq4WSVW3GV3CvJZOWUcqnjMOqxq3rR1wbLitWh/mDZMXZm
R5DIpOvgSydseuhO3baEgjCD+tWu9qx9NzP8wciC889nsj8teCD/SjUD/8e4MAxM3qBDx4hZ8FJM
5mXSms7Z6nNugCBAoE2y6KoE+jgdLUwsO7dy4+4Cm1Bbj7VVcFSKeDD7Y+5lY6H824f+7zSF1/eX
56b2DTjy3xcEnd/7tiCAdsNWxduNImg+OnGs+rYi0J+GuI6Cw7bt/wb6fGtC2394GgAWJEToovjb
vh2crD/AfXjov2brM6IZ658cnJx5BPTjEAa+i8EMxkUQAM93PqJ9f3DKy8xEaera17kxdWsC5cno
VJ1nh16ucOSj3tr36XQTjN0GKMxKJ/ZZtuF9MOdA4z8x/BLxc0VENNZK4qKNPr3P5/xobU6SHomU
tlv8UHAI6B8kWzUsKB2kwKpVk1c3J1JDm3hR5oxqbU6rNubcagqfAO5ZAt6IwLUgrK+KHqFoYkSP
Oep5ejTPEwr7rHRrn2zLT2OS3niR8am2taehG3XfbocjPBrhj1GKW7FK9lJiW7Jy0T2OqvsSQ9zZ
07cKVlpPcJ1aJvepzF7U0Zl2Zo5NgmgbnE7Tdqr0l67Jr72CdDzbufXqTUosUOUJehdJfy+j+NmN
lW2visemVsIrRy+XHn2evOiutQSGcTbS/46vZ08v8bEz7S56Fbg2OU+CwrL7a2+2r4pY35lizWu7
iEbsGfrtTAbFhdKmzxVxuQv+iZummWY5QrfMTLwDNCcZBCc6+ngzWAiradAdsLIGpACT3nqwc9Fv
RUsLK4jlqhfJpWzsA139aW3aESedLNtWInutUW8vW71hvFyrm9qeIp/94Ty63lZNKFjVoCs2UYEP
JcaqlRVcL8M+YYV0e5z6szqNRAqrCB/daSnQnQ924M0stQMK+VNWetc5LT87Ib8HctehDyMozs7S
sSbYgiaulky14BjNxtgQp4pv9x09zhReceY0DWkYLSu5Q8NsjD0sUDkcqtb5hPtpB1KuXcsGEwko
EtpL403v2I3vaChWK4Ncv6TyTZJECo1TdMQ3p5TGvQXSqcqzeoXWzT1UirbLXHEsk+EFUsxD1DSf
y8oFh9GPwXKybQroRDKdrzmqpEm768ZWLDsI+zJmNjEx2mGbyW+CxjT8tBu2BFeJdU0LgiQhu1+k
YmfocQJEDHMRWBBRliezjrDHqxtLy7DXcMIqO5xxY2bcJlPxQvzAvtX6o5joVWDCu4K3dlCJ3NRz
4OqZWu7czv2cNOHOi0KYgXq2sN3mrm/i21Iq9+jCd2ohriRwWGHbu5S0P+zHL0WT3ZP9y4c6Mcww
6r0hxVF2IFswl9yQNrMZgvhgShuuVr8tPbHTZgXeaDLgjK5CE29RPRr7EhR136hnNTKzNfEjnELa
p97hFNOYEwet9lTKLMdQ7FzVnn6x4nKfxt3WTEfJHeZyl3QQsdX6GJYOrqEORyH5iXgUbxvRPFIk
70mqOcrIXEbheCnUDMs8L32aRWvUbY9h6mysUGxzO3Z3EOQ2dtfPyXjt0Si82KcDhWok3FH/3ORK
hyufAU0k6x2Rjk9MjzLfVbNs6eny0kfWQZIGtgC3Hi2QuD0x7N06ZHaXI43zYaJd4xZHI7NfJtfb
9AraEY+DW9w9FwBdGkv9OjUh1RG6kQn3dkxbjGbPpBT5RSdJ1s/cPtPXrrBY+wbDuAJTSDCAne29
UB5ML90NrWxJpfT2URSdzC7bB+HYL3CRHPsApGHsFZ+7uIWvW2fXiuptKuFd10DSsX8PpNWoJI1b
2kOsycNAUoKRKuB7kttp/gqhbXwuyWoUTbgC9LLXQuVxULuTQSC2mkI/s515KtN/0hUaI3EZ4iKr
OJO3fBe1Zq0LGcabys1fSsM4jh4NsTaut6lINsxv+mVjaw9Yw66qhkCgCC1Wo9x0sCN83bxzQgn/
efqcZM7thPTjUFhVuVPD4FLmxVGZQUxBla3MyXrRSnvj6MHCNKAQMMMySWgc9G1Kk0vXw7eUMyPT
eKHuias+wAkhDlwrrbUaGxunop/MQ1FC0OC0b4fqtsnlU9PHtxXNv1GGd0HdbAuFZtfQuw9FH2+4
5zvSTh/bKup2g3lOGdUkaufriU0oWD5sLFOc+ja8i9WpWbp2t1VAVbeTu6sb+2bKtG0denw02kmp
6mIR4QyjTrxNkcesVOROS7eeJU4aEZ6GfWwy9vsVghs9W8m+ih+sPG5Z/Glq6wXjwNzNunVU2USq
4VKN3Y63k64ldmQmMdwScqAtR8iNExbeGZaDy7SnK1aTEkOV7ypSKjqgCp3MP3eQA027SNbsMJhV
4aYsS30W7ITIytptwOBgOWQQjETndVdJNlCmKuPXom4wHcO0TEcA4UZSawuUQu7KyrLHToQ6PTy7
xlEGRECLGkdZ5IkNozoPD+j9ylNRae1TojlgMaypVlDV9dZN0xPemrkT094+M0G8IgPUkM5N2ZKk
pwM+5yvQ82fdTdfmkKwcfXogefgSVvVeVjoebaPw9YzwzEKrnoLeSmaj06rWGujO6bCRJrgEo20/
dwmpcqn7bAbGsesx3QJDIIth3ZJbDvf+rlTVcek60SdW1gfVqLe4xE+qNbwFibEHj4jAKcKTFdMH
aBTjqZysvRPnRxJlDM7MOdxWzF4lTjXJFo36A6Pg+7DcWmapuLQNSUzo6XZlaB+sId5qNakXabnL
PTDYQk2XsQONy06MG6/Pb8lXJydkhKpfFHcFKHOalemeNtROVZWjRy+LUmijD9WuDbyNkka70Kn2
sFcfbdPYZ4V2VRvstIZLbEf5hVYZY9PwZgioFEaMg1MQrTiyMsVq3/LIOyhF4Tc8dAOxLNLLviBy
IOfDK3ZCjS+1nqxIePY55I0LIwckOai3Targ4ioUxSeDBuonI3wgL0EH/mUGb0mPtKpE2+ZSf0IL
jrZAG9YW+cEG2kNKC9Ldi6xidU+fMkMiLbTINUU76aVMamSYkQ6QPBDatzHc6ax2BNowX74be4SN
SfkomAzQS2NKrXTxa1CLzh+SXiLUM657S70OQoPQ39ZeoTtemYGzSbx458Wqtw5DwnzS6a0creu2
1LjjHrOzrfOwhKK36DXT8+YYpa2C0XZPQhNXhUmHEWEDYDb1JjOVQ9bC5VJCY900OMYDK4I/0+Ae
i0b72eqxZXusNJjshsMwuHhje/E4WNNNqdjPup4E6zKunlRO0yQeynXadBmOOO7aDbStNy89FQ7e
TnjRNqyzxEfWeSwRM6ShMp0Uvd6XWlgtddy1y6rO6R0NRC2OFcQO/m9MkVN01W0YD+WGPMQdXUR0
A60kgGXetS3zadB40RIEgst6wOhajea1lsbXUFR8MzGjnRNNzYGQ5BnaZTzqYRZe9XVw4zXZM4Z4
czu/7qTPoPkr2M0R4RvPbgRfpjRvmCzEB88olq5W7sJSvWMY+X/sncdy5MbabV/ljzuHIgEk3OBO
UJ5ksejdBEF2k/De4+nvSsqc7lZL5+ofa6aQ1F1kFSrzM3uvTcimJdQ4gNEma9Q8vahDsUO4wFbQ
yj8Qz2ac5QbjLfcu7cqzmJlfyoJgyIiXbY3uadbrG9aMCv/nXCZ6SFRzss0cOZP5nTzUmfcsJ/MG
g1p5bplJAazUBkXWyecl9w7kv2mrRMRMZQf+Yq3Wt6UeQ/gp5LBPMjauLTAGoMUyF+btpCcGbUTT
sL8hP0gaDOdNW9sYOtlzya8rw/9fgBlh1p6NHMjRueNhYIgfGigjFmIyjCI+JRXa+OLYLhPTlNtv
2sqrX+cz/1P0+RXxPV37f//P9zpruPCfL2LrILsxOdJKft+lpcHUmFrbxicxH7TiKEgT1eRdN979
/cvQiX7TDP72Mg5iQYmvTQHAv3+ZgNkLXYCgcDc+xvJeM/+LR/Mnfz+7QBhsoNh4u358r1pvtsvS
zrNTMfKg7d3g9R///IDtDd4h3iiFHvn+5w8dtbKx6vzk0ndYV9ZvmLe//Kx/sDD++jF88/788FmT
JKSz0OP9gRGr5asU1pGzlmzg3pGl/P2v8pOXIuOMNAdXWgwRvR8+isxlgzAuZXoSyR7DbCf8itWK
XHENw3n++9dSP/Z/ZoKfH/t3HwvThm9nAEKP88FBjHCqzBUTedJ2+Gpxps7D9u9f6Ge/1Lef/w+/
VOEkHj7TX1+IPRmRbah+uEfUVVz9l2dN/dA//lJIS8HjcjuC1Feuo282wib6q5KLtzi15jbIXodp
YwVf/v7X+dnj/M1L/Pi4La1FrYRU/FS4r0nwLLX/xeOsuKmIcXGUYQL5/ldI6szqpGYUp4QTkJVO
Nv8vDi925sJWdhDDJGTj+1cotIL63tbL0+K8js5lr3bA3X85u372ofMQIydWY3FdxRd8+0HAaq+K
2V3yEwgCYChqB2tdDw27qTX71b//RH7yWszJGaPqjov04MdzMgpIDfQSqzhFqqfekHYTEU9VM7bd
GTefL/Wva0mZfP565Hn5WvEU/7j/UH/mj3Gn8YuK5+MCwQ6L2Ixn6o9xp/ELblyDY00XypT9jebW
/QWROsRipqSMIT+dTr9PPAn2tUggJwZGWaGE8480t6basnxzMOBZUjNVTiGsUahPkMx//zw2dZtL
i0ybU1W14BgoMfwGARpF1XyvJ/UuUC6RUa/XQdW/iT6AbDeBJZ4ksbZBxu5au/eGei2s+WgtQBIs
kDFGABFJhPHJBvc/B+6VyEKyXJGYb+pR7NLJO46mdVHm5c4NvX2fGKhvgTO6pKQjRCW+FePHrW2V
/RbO27tmFwR/eyhKBxkeHZv0II1Ibd+trc1ssH4E5LfLzfggrNFZVYb74FTmFYX/ycKC5fdNMQDS
GDJI5PMumFDezZZ3jXTwNqQ8LCyW37MF2SnMSoGcXr6PZZiQ2NtXCK95ndkadovWhCuTKA5cPHua
FrElXp2RTzZGDENi0SFRq856EaYboxoR4xrsJdKoXsWZtfXq7C0kdqub+dGrod31dQMpoiREbULQ
t3UEOYpjugewuZnCzlshm1w3MtMPpEOemyKLz3RCNwJmveSUiWoVpEwUUxL1vNG+rfXYhl3bdCsm
x/wWXiNZTNmHYuzZ0CwexMPWyg6M5y5twL1mUXSrtgte2tC9SzSoJrFm7uUcvFOlFH4O7IPY23zd
MtLFcgyBUpNspqKgxROTiztmobBaJutADzetZVjd4LHaw5pyVpEFOihc2npVxm2AB3MQkAIJ16zI
Ro5pBzZIp+dNHbBZt8L0S6PToA21jidHW4wbr9ZdDAgpTF8g78SvRGut08V2GIWnlM1GDpQqKA52
r1l77ATjatTc9FC51npyJEYFMmJ9atNk15VWVu+bNiyDW5dcjjPdjr6GWllt3CD1zlh1QVrMmkNT
h3eMa9FIdMZealW34vzfoFm1NoNLwT8U5XnhNse2zT/KCYmeXEbMeMNT1TIeQpLy0BsomGMUWqsh
qJ6G1hUbp10u+mJCWizkqnETkhtcolPKcNeN1hFJBl8J7aEbdbGSZHcmBp2LHcoTscq7nv2UFSPO
gfpVkkTd7hLHuCC2GcW3170sVXAaRHqPPBgTKvTN0KjRqUDsXyV6HW+apGy3cVQQbZceo1BbTVkY
bYTnHYvM23dc0KvRQRoZxPekPdSrUAsjPzHEVzOuHobUXWuALP0GLt7r0Fgb5IbPg2SsMXbu0ZxY
5+uznV7bqXzpKjTCuvMVce45rffloqONQDOMHNs6TWVpHAvynzPBfKty7HNzalZk7wkUZ9HNEAol
6Z5fDOcu1TZyds+rON56A6FVQYRiuiAkLB4gpHZpdg2WTkO+0jxXWneTEKqK5mS5iiywZ7bZrc2R
xJc42WiavV8Uow5CNrCqBr4K4g0/i7yj43nAqtITZpdVL/nUDegzgzOFuzRfXjx76LZd3qxsTDcW
zq1MI1+8G+qLflwOXhW/oRwmR1DX4XWOHqbM5LbLrDevgTLUTy0T09p5CDWEwnoe8CUuI0x6UYeH
kbPQ95Zs2rWFMee/Ej3+vXENCvK/uXHfh9evP7tz+VN/3LkCCiOeXyGJl4KmQV30x52LBcYVAgiK
NFnwKuzK7ytG7xfLsJEoUDAR98Qf/8+WkaAqYX3ael2wj/9syWia3zcYn1cu7aTl0caw6eSn+P7K
Dfq4Mq0gnk9xcWXODldHwLR76rz7aTFGX8wESnpGceEu2Y07y7e5yrSVg8wOFnvG5RW3cFY776xN
vZMp6BYmzX7zovSY9d7DstT35lh8wDfa1ppd+THcEhLSK99tbeWnWXbCyC/AKQFyCgZC7hemS6KG
50X7xRIufbDx7m5NOlPyVWrWbwFBpYb1lGY85vPypgVkSHOM7se6v0/j7qrx5GXMnGcHX+A2Tycy
iKfwMhi6s3IcKn/W2nPdZUw5AZ3Pp5LfeVknyNtrtz/0brRlohBAeyu2RaQ99hUjOe50aByXtH3b
RZI0DCQ42GDLBPoz9muEb9vaBR1pohpHmvAVqeGpTXXbD+N6vl20HBtpAKK+aldLPXH/JSYibDKl
/LDQEmJ/red8Ia7VHgMHqbbIzpwy9tb1qLfoYwOSestk7Y5qt6jyZmcqk9FbfFNHUQbijZmg9dDU
bL5WIXo6BmM9l7bfWyWi0slmM3mvjyOjFZCSNXG8dSeiTZZ0Q8P2M0y4bqIwQzdRsvWrh/iC+fom
beedyKb9Mg72pod/5ydhuJuEHFbOgi4jAJImHRT60BPfq8Q6ZqL1fHg4L4ukWoPuw4Av6O+7oniJ
wccFFiBJfEKWbA9z3xPSTYiVnRR7UiK0TZRWFtrP4egJglZSlllYph9naZ/lFdvF3Jpfa92q72UO
9i2X3PCDP1bjAY/gbkqSAGVqgFI2DvbAZMj1rc3zuU9139Ogps3ajI8wdx+0AZygXWvb0TN2Ih7Q
+KIMdIPxsHhW6ouysjE4F5C18R2Bv97FqFR84eBUN4Kt2YPg0kBsNE3/sDCJzyzjozR5zzjgn4TL
6jtI7zGGPId5czVFKMKmzkU5ujy1DX4xgcSPBZqzIgVsU0zdWY6Lgg3H8jTAK2Sq/trN8Yb4t3OU
lGs9rp7tGJ9IYLIaSwXD7qzJ7rgu7iMaW7/qZcuPlp4DFN1UC7rmznmucYL7TW8fG/wKSyR3wiTI
CF7kTsxwLvv+xXLDGzI4to5enGBonaYKPU9tLwaSXvTGtV1cLOmAIyncpsXXFL1oz0Rv047BroxH
FRcm0bNY81VMWoEryAL2iIbmtdunhcjZFZ761zwgV8cSabcSLYFWWYhgZ5jv7IWiYSozB8e4cwe6
/Rwe3PPiRsfMm65NQ9tRmpGXVHtfg1zsc8/lMXJqQlJzHsBAIQSnTZAY71YiK75Q+h2P8RPekIhj
obzsYvu69cyvHp6HTaKNV2XAyidvdblCjUmCd1BYfmZjNnM79ilWOmVXc+rdpCnnCqNokn4HwkPz
WQeibntvU9C9pll9FegNEmrHCtbtKBAzz7VHWWOdV24rrxbT3ZGkEeGyH+rktir0L8GMrSRMl/ul
LC+w7L3pbAn6rJ/3yK+0TZcalxEMA7+tohbqIiscUNzvZeUsmx5YNVjwSpE5ay52gtR823PwdVtZ
swpkc7Hoznln6Gdxrx+iqLtp2DTBMTQP9oKTr9fOy5zfMsZkUnWRYPujSZKnw3US5T0bWPnrFOzf
K1+No/76yr/KXr+8Nz9ps/lT31356E1/Uw6pNvebK5+xIfe9zSj3s2H+5soHKgf6A9cgsxih4jb+
02Y7Oo02nGdoaQ5X0D8RFmGF/nObbSmSnCKDGIqO9f2dP8wjhTSCs1NHwsdKduljOcw3RH+RxuWF
p1yvky8kIxZErpl3SHS5PEyN5sUZP7RIbNE+SQS2eL5CsqdAqLMDdVh2Euz+1oR0XVOmnFB9cYNG
MOQiLoPdOARHciWJ3qmct96Mb+1heYxocNgrIgs2KrmayCXfp051ZqrmP3eU3tgrtktm3PJa67FD
89ggxkXSPBPk7qL+QO137FLvnpEzlW8afk1a9yhZpQg5naKw3ZcOhyMH0LWBenFLwieKfjlcTQZ7
diaTtu8YpMpAW1TnhE+5sjLrPjlQy+E7rfS9Dnx663UE81BbuJsev+zGTDFX4THwSzP39kEl7xoP
rvTsrXvT3PQI2n2w9DFBgvNh0YmB6YrIRfGwPFjeVyIJ1o0xqSbuzBm6p14s8apKwBxLk7iufqa+
sQdy3axpfh9EeRh0Z+uYGsBkET2EOhpuUowQMbDZYxtFkaGaNgcItHOp2s6wbB5KzXpDVXUO04G1
5bK2gRHXrX4gU/3aQALKVsi+cXmHgpicRq0klizLLhvp3dixeEunRfjgADkmhfKNOeN9bsjnhLm9
UTlEAw2F3Fa9DoNucs5B0t+RqFms7EU8xEOS+WNBNKAZ3ONdvET4ch42KciKLCOENHqZBu2uMlFG
RNNN59lbYWtPvZZ8wf5AlUVu2qqpAP0vandvtPWHM8+3osdhV0vvyMd0MSYOOzm8N/IDzcEmMFQg
IzrYysEDaEiyQhGn2YlLixo6uyVxLL8pyhezsJ9NKPkr0tZeZT/yfOlobvIQfs3QlRf6kH0NeCK9
xszXkix6PbPPenvel3b3ddAk5svIvLNoisM41jAs1Ve6GDtMDmRU0tJFfqPNyVqLIEPPpqskoulD
0vEmLRR5vsW17cvcuOnsauNVOQjdvPE2sE6rswBk6KXRlw9T+0zkvMl37jlnUlQqcE0UstImGhIP
whxdz2PjHQKS3cHGtNMO9gkYkn6UQHz0BOtMxPGvVR/MSjoPNUDdcTVFAT7uLk/r5X74rAmtYXKp
1sIglbdFYFJhsWd9iGVSbiQ1pfAsIoyoMqdCUm6qutNNEgB93g5bDiWp7rpriJ7ZGZtKZ5MDjUVI
YD6Xg4XtT9UiWcQjTdYmQU002jGz85UW5+vQ9aZbt6ICLtHVTNHyFf+OD9fcXRMzvxXU0n2aU1RP
iP8K240wOoZsIZ3LSUofWSBkVvcxpjKPXCvwwVNsETAeYmr3BlVBRi2fxf22UvXbQpVfVgjnNOp+
GRXEwNMJpNK+5d3VdzU9QptQp9EzePQOjSmLVRiMb60tH8rSfMqFg+WffiPJSD+t62VRKqcHK1I+
r4XOHTHH5agalkK1LmmUXQh6Gf6tgR8Gm2jdWYwIaHiMGmKamX7MdEJV4jxUdXzMGvnWtBBjRe6c
bHonuy+FL+vI9E3KfnbJDEtEoL+JKblx6b348GjCEkAtXerc58Mw8g0xscePbrRhlb221V1PiwcM
g+u/7PgyzXz1HAqDNjIOraoUYkoGvF6UzfqZoJQADXQBnx9mraoyMiIQlRPf8804h2rkAP6Rub5s
AgoULSJ1s/TqZNv1XoyfTVwWqp4ZVGVjUOIsYfCqzflFROmjqRpIn+YvZA4ntzOMpVUzolxrJfO8
GfG4E9ZfRjZ1CKiYHlK03MeufR5V1Zd4of+E6p3fMd7aa4VxD8A8XwUVn0bmBGTYprASApdjYzw4
eRWsA7sn4IvboeqweoxMfPKMZw3N0UjBJ0KyeBqhz9RJWVhsJJQD6NBd670YObEjx3/XDowumBGw
3frriuiuLzNSR97/XBOpP/d7TYQVFc006EqbdZkC1HxTEwlcqtQ+LCUk3DMVU/H7GMTFr0G0tgAe
DCJHDTv+qIn+TFL7B96LX/GS3+wkwcVKJjGmrbMYYRrz4ypMHywyKco8Py2EsaDH8+VQWv6EoWwp
knKLb1T6CREuUmW5WIS6iF7fxciFo147EG/IUWlcF0ghesJgxrZ6TXv5DN95lRIWMy36RejJ/RLR
b6cqTyZywueWgJlBJc3YRM5gSbFX8jOFRuXRLPqIqVNl1GRp1BLJTW5NSYBN/2uSDW5+lW3jlaTc
LIwk2ZK8kYK9xcB0FU3lqVK5OJWXPI06cRclkTl0/z2VU6rcZ4RG9HZJABIJO9YUcV5GpO7EA/k7
1uxedATymATzmPP0Psvl2ErvLSO4Z5wJeSU6e1cS6WNbbAhLQn4swn4ylfrjRda9SQbEUnYvY2Rv
yd3FPqujYRo990oSHZTlcE+IEkrGZFtpeoC3FLd84mSarzfao6eoIuVSsb9JLqIGscZSzecmLdIB
jDi3tUowIryHtIPEe5mc/Ao5NNJYt7ys6muoItucEKTZ0U8s7be9Od3MjAoYESBeJzbJ1FGkZtrT
IAMUXGJr932PIRiNo5nlb3iU7ysNS1eu0pj0KbmcVT5TTVCTmIJp3dIqPtTyYH+GOZHVWnJYk/AU
EvUUqMyn3CL9ae4HMhBAf6tcqFglRHV18dDzYwRcIqtUpUjJsdxZseC9cck2EDOUDz6HJKHGQzOU
rUuVRzXP5k3slufjGHyVNdngsU10VWnfaAbKfq2zLzyVbtWrnKtIJV7FTXSjMYS3QFVcoC9kf18n
d25QfHEFM6sgx5iffiUL8SH0mHhjXiBji19qX6m0LY85mh8wKVs5RHGZUt3MTrDKGCKhperXC7Fd
1pLuGAHtUwMnZNGTDmG0/btrWdVa2ozjBfFfJTFgnl5lF5HFu12rjLBPwFgxUQqZbcP+huWwvwCP
8222aEca9vuawDEWei7eUWLTCImHzzBRZUC/xwVNVJnA/nihE17Wu+1TTJiZJa0b1kvxylE5Z5pO
4lmuss+KAIGcN5OiAt/hpSIgzSUozbRGIJ/WcsnGkCpPwyZLqJpXuTc9IWujySpFD4KDk2rkr/HQ
s/pzt1hGsxU7ITSvYdqCwIcZm9RkuGnL/AqOBydmi5Iz4x31O66ZbtDWggg4fXZwWKpUOAau4LON
fDOnN9SAtBLSH8iQ09L5tRvIlJuGuzQD8jC5V6kKnSNgTq5GFURnkkg3u1oBZcLZqMs3+sy+jmtY
/DrzyN5CIF0Qkc3nOp+R0bJBvy7hh2D6NfCMGlPLTE47ItADCUx4xwY79Ct4l/1cddaKaerMxxUz
Dh1JPJsbqDZGPd4C7yvpFLBYBkYIhNe0+XmUpXXseQL59x+GsrvOVhb4uHvRh2faTd2L91aZY6Wd
x2clftkK32yrDLQGTlqKhZODsxZcvc3CBbNtgWBuaxMIRLJ9cxHgyKXU5NNWJt0a2YOfKuNuj4NX
KitvqUy9YYy9dxgw+mY4fgNpT/sSD3Btx+XO42iUuINrsyd2Fb/w0kWnVhVuuMPYpuIpHpOcFFhZ
XtW4jRPlOl44K3Eho/MzVuWijMml80rQBzat6MxQ1uUxFgxrRX+PFFtf4f6qGZviFW+U6ZngzufB
Xp6brr6JlC06hI4LWKSHTMnkSeKdrpSJusFN3ZsavCYTZOKorNYMCN+SJuOooPjBi81Btwtr3AYG
Lu0Zt3aKa7upXRBCaf8olaFbB+W5FsrkvSi7d/xp/I5UG6DM4JluooRObgvySpYKu3iQ6s9jOqmB
XbK1Pp3lymNuMuH0GuNhsK/H9mwJnsb4XEbmdYEbnTTgh0TL72Nc6rayq9v41g1lYK+UlV0k9rvO
QQ9xyrtCUc5XWxnfNWWBd5QZPlO2+FhiUPLAAVTZzeAZe0cZ6LGHbxYc9YTjnUfKYh+H/aPT4RkX
uO/r7hITnd9ZPcJpBwqc8ugTIBxjaWoQZjYxI8xlB4gruWDTpmN9bo6ecvuDQUq3zNwTf9FNk4ka
VAALPMAIJsBSLXJLC7H4ehl6aGB7k5XqVL67rN2OY9H5UkUoWM5jUubjruliRYGpl/lSj8gQj1o+
Z2debBa7Hap5Mjc4v86CbvFOuKfKk1i0ZY//Qx4GJ7rMmsh1X3s5z7tlAhMWVYxFuDwSdu3hNrf0
o1FZB06jMzvg0UEl5zfsmNdaI2m84B2j5qqJbmq1PVCMSynbcF9E4t2cxTsYoDeuHASm0UTXqK1z
11kbbPxNXFQktuvlmmHmlylmemqF0c4QmCy7gFytIrSfogn/yKwzxB1rOgW9LVHw08sMmvJk2CxJ
11n11okzXQY3aeDsNW00LuOG2OKK6L+YRPNVmol73n5ucT17B7BzNgDh2Fb1dN20ZFu4Lao002Ff
MgmsQJT06xjZt6/X41PR0QBO2a0l57WdWfe5V1/NdUKm15IeRknkUQyaie8Ji9ppi3r9zinlFw7X
KywdxSqLeARiu77RtWbLAafvRtlwZeswnSIGNM6i7wu7M2iN8pMD78sHxIDLwUvnTTPRf3LuZ3gq
Frpzu93kE0yFymZ0HpfG69ICDcnGcefECYczLjuK3KemqS4mJ3NoS7SNHpNQPbrPXC2s/Y0btizn
fHP3mP8Y8YzRfQWmaJXE2XHUuWpT/SIOiI7Pyker0p+gwyn8g/PYMu4pJ9xeY+xpYDppkT0rfMhn
wZJWyw5LfNbI5jiF4bYaDUC8sXsdWRV3tGbf99VwXCDliiJ+yyR7lBRLbWvOF3Tx/X5u5o51gn3M
ddZgds5BqEU7YcX2urYkxhDjYhTLed+Y5irEDsCUhsT7Mc+vzEAs67BzNV9DE74eIgixQ4+sZUQJ
hB2vmKEXOGh0l2bfMhBZNyJ5c0ZqGHfqr5wKiJBHNOgu9Nr2Iq8bUAbmeA7ezuVQCnZpFmg7Lx8T
as6g48tl4T6Qd3anndmxk+/sqDx4VFtMCyozsf1l8OzfGNn/DqhNtLN/3Y5d8Zy+tn9uxtSf+r0Z
w/aKzgJh4SdDEcv5N82Y/gt8UfQ3gngO2jRmw781Y8QJSv6Tzo6Y/kZnLPCfZox1NQRntshc6RAT
McX+g2YMj+2PA2oMtBCt+SlQnrm4X78fUMsoLCCGzvrJgvOQ7uHwGixo6/RIB7aSS3vN0f4YQJgw
6i7bjaH3qMV0SXkEcwJpixdkrJqZ+BCFE23Msrm2eVTx0Z/3RKja+XQwJ4hh/d5KtOcyDJnBMVQK
T3rihUfUQu7KthjnOjotSNriFrTn5SvrV07hnl0hmWvPwE4heplat5Vj97yU+Z7CLVyb1nDF4s7c
UMjE/HdxvgxUTAZ2LYmmm7lK9lBo/Uw+oHiPq/ZjXIyvroZNpuzTaMVk+DZ3JyZKE8mis/bYLNL2
p6VmRW27sPC8y8Ke53NNpje2GmtMBfjoKWA+xzKCf2g/rKCX/I/tl2bQ1wQoGVBgYghlgTTWedTU
mAXMLyJ9Yo0XtTbsaaDg1tgwMyUfJXC6Zs1Ea5YrKyVfCveniaylgplKiWF23qsey2DYxBOgcGLb
I3AdRboH8KSKI6338Y1WG0EV7qNXV+YCN9uyfkwxWw4N6fExLeEcjt01ja7OL5Y110NpJjuOudpn
zMNbBUTbbxsp/KhOuKMLKpe8tp/KpTGY9AJ+lo3kkClbElrVxHPy6DkCL7Awko3zNc8mjXqfiHUy
DquotMszD5eGz7gzPgbgB9aj17dnUTg4u6kJWb6ChW3XNWBbIDJmsNPT/sPwSndXR3W/qoEQ7nVb
exs6Pj6SOdXNju5BrxEGxpiR91LY757GrKCvx3GDdZLb3ZOHTPTtqrSS7Mo10eHpbQFvVmPJ69FT
7GRmEko1tNbOjer3fNK9HbUU+NtGy66cpQzPeOeY5gVj8eqWGCGNORb7QJBW0QoIKoUxpEgAurSB
juCw6gSx+1bNxOmUhAD7rYUSiMO9OR+dcjwPx77ZeRFGbeLgzF0FCWrDhyf9oLU+AOpIX87RB7AZ
c6fIWtw2S45V2au4OF1XvokcLQGbELRXOVU/FSyNcSWHDbNrnSstgL6YFJCb+M6FZw0aLviIzD02
EalpYjOZ7oSgCjnTBxOAee/qunFdMn9fQ8lpz7tgEdheGfA2YrrLICriPAZhWND549KuH4iJDldi
CQjP9MYSRRzX8tA+a2H9mJUF02rXGzdRzoZ4yKF9J8KBGjMnD3pRXiV1G7/MHlY+IwojDIgu1KMK
m87SX+P3oOGzQQwTQVofvN5+j7LhpRfBdgxdgq097WNMOnWLx88E4J7h7n6a7NHZwZsBRZo36hDx
jrwVhz71Pkq+p1qvBKO5eydc66rWwT7oluMXDSxYIb8w5XocMg2kRTNddUvjHtym2ZdLe9su3n0N
12MjOsbLdd/ApId9ijhu3pkG8o2kYPbskvU1hu2qcaObUDSW74RMHvrMrM8tsbwy6qBMK4x9XEZn
qROcXHM8apNZr2eWhHxTYPYAV2fCHGfk1eHMfUtcNBp22iX70BwoqSSwyYn5+JnNQM6Xdtn60srf
oMNyZom+wJdUX5WjdouyRCF/0vgsxHrJbj+Ecg+Ugx+JAfzMhGLLrN9mqDCG1zmuEPQW2FHhxZr+
IgK2YOpFu8qKNlBYvZ0Al3aThU21dg3sq5ww/a5NbPZT1uTtKqnTRiTs0cC7ZZwwzgxEkkFL0MYm
tr5cbryFOsJurI92Dpd1KpcDPtUT2onz3EwuiEjJN+YojJ0JunJjiirYpoSrbiPHEkBBA9IOQcXv
DXuy1gmClDjKFkx0sbEzTJVfnvDTRjnfWmNE15cVVNjg6lQeMqeUILJ8Nxb8plYzWPtoQJXcJ7q9
0xL0MEnOjrEOiTcvcsSmHFO9/+/k+XPybP7t5BnW9P/47wpV85Ny55vZM+UO8jaKFlTv/LVqtvvN
Pt6WLNYdh4LoM3Tj93LHhPJB3jIg6t9Lmj9Gz7YaZSv8uo2HBb7iPwMkOn+S4HmGpQu4PwareIqo
HyR4bT9bFnpXjZCAPGHmdhjiYPSLzMaQp6gFqTPvNcUxQMlxraDVsPaYlI7ADkZFPUDNRXIH04ZK
ERGYI9PlKUpCrXgJMeAEeEAPJSCFStRHWuHDoggLlWItyBI+VWXeo9Pe5YrGEHakNCg+gwWowQbY
gPuoXQWmuPYUy2F0cfI2SfMoJudjYgyzTcbqNjeSe0dXu7t0gbCuIWeh1XuSfdWvYx3ub8oAKAkr
nOylti2Yqfq0dLsx1TAmBuzk2z4/IxR4JCUiKLH+4zDW1sEkX6ps0OZrbnJ32BLxOYKfLVVKAakl
okJvp+IMPIiKZUnAQaUjmB1U6IEhiD+oZ3MzqECEVCUjqIgEr4BgqEITepF87UhR4EL14H64lm92
l9lwb7Slw/KT2AWKBBZUJDE4KpJBJ5shUSENEwOUDW7cYdWWw7kdtO1ZLYo3QCBJsy6yqBQbltgw
ge1cGtf1J8CbE2Y9wvUWEco6h9qPgHexRk33VMjygQuVcf0ylRe0ePNKc7xN4SClDCu2CuVlq7e7
HC5FBll8soIn6nb6x9SciRtMtn0hxUFnbYrrvZ2xYDN9CGzsnkLxV/l5Ht2wi88G9vywcSFmu3oA
gXk08xN2nDtUBIggK9ozD/u7/DTCd8oTTzAITuXm0yqvj+5xMeZrSLPI5OyWWlRt55tK3IYIKwLl
uV/IMK4x4WtgAmpM+VbiHODQ7NKh3zPla9cD9v3OzU+TB6xmMujUMfjLnE9+hG6SWD1wl+TRggTg
lNFuHN0HSI6sFGAFwAq+q2AHNDAEGlgCcYcsQ8EFgCpVK1sBBxbIAxOD/C17TWM7OfMF4ytxzkee
+H2fvCdcnYNCGGhzaG1MhTWw4Rtgd9iZ8A6MhgJSARC6PjuyyrzJFRphVpAEU5O3cT++FRrzg/au
6XV9hUjtOoSuUHFNFdVyBtvmQXjJSNAoJBh4DAARKVUo+eM2fckVskFzuA0VxMGE5hAprIOuAA81
pAcv0MuNyMFo2QvS1+EUseU2YEOUrbYuYUUYrvVmVgIWjqJIhNFphCpRN6MasT9kCjchjHlbKwBF
DGsigEiR5MVlrxAVBNK9DQpagTD9wlMYC5wn51nG/wbfYlSgi7HJDy7ki0HlrioUxjSZJhJUiyDS
T1IGXt6ZuYHiZ0RCsTRAaD4n0DUKi4l7o3gbWrsHJvLcwuEYvWGDKWOXmO5LB6cj70F3lpA70Kuu
OkgeTVg9zQrtYeRwfxgCXbhQP1y9hnuMURxhvvkUQwYZ24Y0Y1AhpSuvTdghOIeuDQUTmZfhaCm8
yARnJCgoorym2kcQSGI3fUyM9CIU7b1D9DFEbnHTwSwxquwYUQmkon9Mc3nbKLhJDuVE5nzVRHOE
XXqaFAYlnFEZJZBRMqM+ryGl8JCclQqdEsFQaQMMIAqq0sNezY2avHgM2gPclRL+iubp5xqVBbMh
7SAhtAhILV1TH3LILSOByN6SXkxEA3TZct0NaQesoD6aMF+mikfWzVlxtdl9ABUmZUUna+vQQYtp
ZXVGH3PQzehhgCZjQZWBcZdRugbsJbGTw51J4c/oCkSzQKQJDLiNEGoKhappYdZEZXoew7CZYNkg
yQKdCgFNL2uxSlhSSBILCvg3QJjOY3g4/9Ymn7WJxHP612OY2/idjPI/1yXqT307hsFRR0Icd7/1
Y11CxgW7PBPdH5kW39jxvF8c7mfQZBY1CDhC/sLfdYLeL/wlhospWdnolInvH4xhIEH/ZAzjYA/F
G4r0kGiZ78cwixnlkVHG4sSGnhFCvgCp0F/K8Cu64QXTAGPV4gJECqN/VNUXo9ITN4jR2CCc+rra
2giOM4THiND/H3vntR03kjXdV/leAL1gEu62CuUdvbvBohy8R8I9/b9BjaYptka9ev23fTmjlkgW
q5B54kTsWDJXEj1Jwqec0ucKi7KRO6dy9iw39rM22+FTzMwTpubWtCFFzD5nPWAnO+R35PG4Vrhq
uqygm3gwEp7Zx3h05xxMZgCsXK/TrPVjp9aFUi2pq9yHJlT12XGdsPVqZJUtYszYWmBv+9mdLegv
HLBr86i8n7Bvu9i4sS5Ai8bYrfQ5T1j5kHDuLwTW79pV1hNWcKRlmzm/3LBal9wRSGVF6MyGP5e4
YyVvsZQz5OP2Y8a3MZvXDUbzEft51esDpt7R3rFeJjvhi0OspgVtu8qWXbFYaLgnt1IZN4UYdvqb
xd266Ut5Q56qvk8xwaezG96qnH2APV7NzAMdNtmyVIcTjBNz0Qe2sjIx1bOJjJcDNnsWCTvLZSKu
MOCP2peGUS/Alj9SHrIYZ6f+5PQvyezdTymRAPjw1Zhd/S72fgrTGCVZ9y4V4a/bOQOAa9RaqcO4
jYkHOE6/KokLyIbXLJgTBP33NAEsLqIF1ABp4cq342LTmpE5HNoiGheTKNV2VzgA7FrbBaOht2jv
VaHW9kp/E5aaN5Ep7aqe8gxTbz3rTYYa3iSpjOAVYGQBHB+6/rIUWAJlhQMVRSufpS0qTXTPQAJn
y4Hwxbjn9Shh1iyJuUn1jS2XtRhRy8ZZNrNnAS0wkxt7thnYhn1WQt1ZtnDiUCRxTSjhU4oOlzsI
ct3Q3ZazREeqIPJ4NH+JUe90HBJTy+KhQ9cLyNcucLOc1FnySxr9UM8iIGY8Y0WqFdPpLBC6yVaE
9bOTmO2a20VK9N15HlvaAEphxfNw+KVxyE8ApBl457QuoFwESXWWJtMAIPJz2nk5miVoji8CGdNE
ztTpAjGT6QA7eBMX5TV1aSG5iuG+FCx5LSTRFGmULDtEENV69Ln7b0z+H0frH4Opuo6QVUehNMe+
ec5Nk+TbqFC9bttT5PFPDXPYAHR2qIC+TheKEjbLtB44Buf+Jwrub+RYBLskZEFp5eepLvcgy7+B
U+UMF10ND3xM6s//nivfZ97fnytvM2+dv9Zfol81AxjvzhdN/MHpgiA/t3q/zan/nXvn0gAUfnwu
NvEvEmb/lfkNkz9huHUJY+OHsuck+I/zxfjDYWXu2Ey+DNMgLv/J+QIn4cP5AjGF+dmyTaZe6Jvq
/OfvOBDuYCqly7XmrOBc8MyZw+pMI4GGmc3avWFa26qt4YiNvBep2plRrn5fNfE9YEmyU9MMe81r
uK95VQZsvC0bHixgMdCwkjAWnNhgqCaosUPakW1dVN+Jssbb4y15Q80iVNdwZ9s3CK3TtqDnTWKb
i1yxeQhMwRTfZQWzoSC4odM/pI63oUZFNvWLcbguyxTofZs2W6r+OMNMaT/kWocUzhDQPZQkWQhg
muU0LkU+aSn1G1UO8qZ0roykKzElV/GzYpbmFtAEhQAYkf2LrWqBs8B3G53ILzsSGP+UBUsnsvyl
W+gw4NVsiaoloc3Y2dm28u4moz1hVcsE9nhk5x1HiW/SEFI5LzqS30SMzS1Y8REQGha2E5k2Id3U
vsHOC496arNom9b29DnTFajWgRibfDmqDFf6WrpmDOlcGBJootMZ7cas+YU0XgRf/BkAnaYhZbMV
EPgfwnzFIgFfPkRdqntmh4kxTe7WDVB9V2NZBxubbqvrpu7iF+z9zbVrNzbYe9xAi7QR4V3Wl2fX
aEpCPAqv5lWuBJ26Cpr5sAv8gkatUNck2makx89J2ugUFBGxYeSWhLv7XI3SrWrkrY3VqPTjXYUq
MOwzOxL9V6t3gq8uPNgNUEEfaGBYQMlyQV81SoPAqcCMSZyoeQoNrawvlaK4jD7tv2rddyKvgT3z
Nzdinlxe9DX4lVjHX/xxKdasP6iFQx7/DpSYk68/xDoeWqwYZ2gMDo7vUdofRlHjD2yqs4z3p473
46Gl/4HyZ0D4VYXt/FO1Duzuh4eWzT+mg60xSO1SXKfOf/7uoYVbIGxCsH0nPANI9WZSgdFeSstM
9lnEm5dYazfZ7LlAc+ogHfNxupWkPgJs6EeD6pHXJMyXRkvgXaU5y0417YqsJ36UuCOJtmi63L1k
RTvtA0Om0Q74o35H/4ti7rRGrZWF6yrtJfMNf5+Mltqu9CSJtdvIJp534HGVNp9dvB/9qTZwgV7P
R31n5elXQmpsGfNIIn8JwjMbdeZPu9WMom6rsd2JVEfhmiZM3CtfHSVhThsrpF2F6kGXrn+oqyqm
ZAHi7yoc3GpZV3W7kuoYHcx2FEffx320iF3ffZUNLRMLUfmY4m2B0pHkobwKdfMV6s8LEL7PsYUq
wYWEC6xlfi3b7Cs3VY0YTVaJL/Bplw7uCL0K+l0+qea6TRT50pMFXnS6GtGwlEgNMkTPrgWd41FT
IuC+Se9jhIEP2Ri5vgsVPzwqiU6mSKsJx1RyACteVhvuYsWy7vhYZ0nOKslhzcW2gagLGSV+uaVn
tc6y6RufMprs4Ei3WJp+bZ+QaaddIljTRTpYN+GGmEcYLOqA25sxOvGyaGQOGjPxSsf96ohQ2Tjd
tE01RAbo4RvcXZBFG1ruAh8rWyOGJxHSmpn0U4ePytwUmguarx2WbVj358SgVk4NWXe5qTl4lDaZ
hBtL/QLYI7lVetO4yS0r/xqrot5nVZQ/0sBB4iKqvuRjFx/+vW99v2+ht//+qbUvXisZ5X8d5uc0
/Y/nFksGHgca8rpOW+SbO+LHcwuUuOlYuA1tjpbZ4v7nZcv5w+CbYM5XNfU/EsCP5xY1TI72n3+M
ef8fWiq40P2M1nFUlmwzylwYM3HgwyxvO9QvDmKsL6MCqp9gCrU/ZOZyJwZhEuaXSFgnEs/h2TLr
Dee3ec2dnTE/UG8MX9wktfxaqDyehiGEFdwdQltbdyS5cK4ulQ66aK4dnVzzJp0MRycGQAHGUU0x
CBoyO9PIsPYD+9iEyroYlWsrDu/tMX80eYc7fsVnxcEqzp1nzHcJFsaQSlj2a8bOdMKHeuyZQtXr
MUnPEqY10OAzfir0fGtANpu4j2iYq4J7E/yqwk+0Suv+kxu1J58NclsbL0bAQ7Bt97lvrVvDPXSi
OvtheHaxnbmYboOwPEsojkZRndCJHxFFtiFMXpcKSSXBtK7F50LRVjikaBGcvFDtnt2ouQpDeQr6
cdlhFxDAMaESn2udRaj7rQGzPJtBJZxjuZ9c59Xv4cla4jGOu53SuF5nNvSLTOwIYy8rp4VV1rdj
MzJ8DdElMG2ykOCuY+vebLLtNDY3mdN+yvXhrDj5mXqEY2fNpmy5z+pxKys4OEH5jY46+oZAH/vu
zgjEjR1iR8Zgsm3tnJVv2p8SCTNWG1E3/eTVKARGaGsZRj5GUmlfpNIeA33ubex29QSx1FZuYnfY
aar/IOZybNdYWXmkLSpArf6MBA59tVrOQmbkpD0xKYyB6UhHXxFZr3bHXgmr4MYpTQikQ4myzdM2
64dP+EFdKk1rDsFVM7o9Z07j1PGWCopw1xbwWS5immjBjmHoGpuuzoGykFzwugE+LqS/TVFJZlGn
vEmKttznFt7spiIup2GIPUED7bxupP8wHRBlOBF10vRTfKNrOrUVarNA3t/GOZAFaE7Oih9pWuY6
/jYtlxjxS7qoWkeNKUXqBQWOtIE31ngbibGiEJWJ2DdoEJpki4m3rHCmBM091CM6vi02PHGqX2O7
hqIWf+tNH5Cnot8puv+5wNYLReMy6eZa1AnVmEnP459dSOp/hVhzYs/8qLAMiE+1bLsV/y0eFISH
hWEFqygrrvWCgihJKWLZNS0kBujOiNAQk0vxKQBdv1ApCFuUDWkPcht4OXGK20gFrgL/tBPEqboO
VkyiO1+D0n3JR/3eNK2vfP84Rgq1oe/cSD2jRJxn3V16Zh7jmkwQ+zrysHRgeoYTXbow2wOgeRDD
+E3a6j52nT01RlQ0KRgwg/AB4/vKzdLqzJlXrbOOQ1OXinUqUh+8ZBhAhkqalR52hicFjvdey596
qjq8psq+KMWc3xz6GXMc5Os4GXa+km5iFfXfnTrsVhCHQMReItX+xLL904DIsKgHekNZbW4NC63d
DlPcu1yX9Arad8kyvzL0jV/oTy0w5wWPKZzu4KYC2SykFT2NAVgOVxGfI7/KPAuvlyvbT4qsvUan
5mPwVa/K/UcjwJs+Ap2adAkyCZwwrnOdDDXGVHSPu5DdmqfG40iHE7/3wfefDKxALFl9m/eXsYZR
RpaPsNBqipIREhMfy5qSbL4941umwrTo/GDmd9Q42KJ+0WfVDm63xffW7eEOXIYMF8c4ScwgBi2j
KkSB7iFX1X3bO3DoFdclBIq9WqrDMQnV2z5oD2Ye3hFMoHkphiNfx93CEb3hWYNyjKA8UdSS3Neh
wPXANtBL7ZK6qjBM8nXdN0G4VIo5ugA5hNKwLtyJFttE2olFrjrKhpoBPF05lt+8yYr1IHVYMCP3
Toq3bW1Ir6Oii5b/3kW+30VwYv7+LnKUUfN/l09RU/5qjuKv/7iPELjD7wAoyNVVx4U58OccxX3E
oAKJm4er0pj9s/iD8EOElz+g//qn5YL4g24T/ho3lf9MX/9gufBximKK0+iFdIXOv8fW8IP0U+uG
2SA+BRfgxwuk0kiE36fs/wmEJeP/05VnZqc6BokX0+LqYzv8UD9PaplWqNQcj8OZdoIdA4i7HoBD
12s7G06DgZGLVPPYbHj/stdQSswDWuuYtzpZYwIbxNNPdm27DXKLX51krThsFqRhVSfLUtRhJTBu
BJ5aatgdGtq4i7JXy20SZtkKujGpFpSnTQ2xfdVrlrbh88VJV/TxxrBYTeaddRVTbLQp4dh5sgjq
TQTwDEpzXcTKJs8gzN7m9RR+yxCS1sZ3PrKD+29FS9DMTXZT/tdKK4nprsI3uDJxcrbAnLfVdYvd
qY6qaT0pGm3AQ/hklNohHEKSLilPoISiA6OrNtg7jr20tIXdKmcZdg9mYtxVbnNbQ72n9PDBwgtO
IKpisRGJY1WLVSCqI+0CO9oVkx2AlAiNzTqQDqBTMnOIOBXwddDiVM6MqRj3rIifyzimeSG1KS0p
qktNAeaWc/4oB/VTaCUj6V8YBcLHhO6kGi68IvVG112NmBwWEA2BqgiSKe0wmBuMwdOhGstDh8V8
yJJtS2flJkvN2ouMCeJfCdcxOmWMRyvfoK2Ey91mmuqdX0c3ISWWmzg3SRQpCRccInQBZIS8GepV
HWa3Rd0eQgO7ljKq1uexw8I/1kG/VHVrPZS8VQctWgmkQC4euUf4fTeU1akX9ONo6OCLhMmRwjCi
GUFszrkHUoKDoJYiB81CZhoPri8Y6sb2VJHCWOK72UHQZ+uTql+FJb9oNApQHWdl5B4z7DFhYkbX
Ze5kbMdFZELXZ3Fra8reZejfNI76OVEoWbeUc6vZ9y0TJ0q/tXDg4PgJvcGGdoR+dN3loGZivMA1
nd6EVDMLwiM9GBunb3WvMnjhiSpsG7V71GZUT2kGM9bgBYH1VKh0FET1sDdT9WriH+009voAeiah
YdxVXvUGLKYy7AoxHQ1f2br2w+C/FM60B8bvrM04WNW2ScxPw6YyfOq4zciWqmsBqdzUx6vAj7Wl
oSeYBRP3OQ30Z4OFKCVj2tEVbDZ6canC7ZgJoo4T/kRzqtZ2qNw5Q3Mvkg5KJdUZZkh6qMMKhBkZ
Ja+jrKVIdsxkKeEC7aFUwjvHye6VsgDJ0K/nu7JuD/vKVfbDoOKDjq098sYmtVKOVrvxiIfhSpGi
vRF9vOfnO5ix+sJpjwvcSLHMFNhydKOMz1Aqk+2gZPpz0Tv2U+MUYAOHcfTvs9ZPbgaffeYwpBrO
Zb8GVNWGXqXMJRcplsCwpYGl0hVWVXwsjl1pRmcpJrxWad35zVKWtER7wPtt9njufCWsfOfTxGrV
CwltKdxOVl1jMc6UUMnSssOD7Ta8mQ3IFrSpHsgRggXRzZtWVWsMKH3lBV3pLDQtPlB/cJuVCclG
qp654DWQn1zxZFk03lidV0lSSvbQ5HuHyebklziYhomTPrGKTyJgd2eBpeAjh19KmHdqUCa8jmOy
CcbgGEMPoIvRvwY5/0kO7jJm8ebE4OR8Rb2FFfVsGOUL1bHo5/G2i9tvdt1fUnOK14EfcuHt02c9
lgR+7RdGxgXZT5axGnqL38cQr5ocMyhWn8Y3vXEkRkxUMq70L5nVDswcuDjz7rnD0G2KlkKgiDV0
C7ik5tec9FBh7Uctbx5MyRBKWzkwk/h2SMdj7vbbtsLBpfTxYxCOu6jnIzoMp87PNkFGgE9NrZu2
nS5mYz0PoXkuYrF0RPfYk6/RevD6Nm1dnWC6GVTo4AJDl5W8TFUEMSW2NiI2Ma2njKqtE9GpOqCm
UQq5jE3rVpv4rTUpjrMgt+/Ase1bg/bMJlKfOQmY2IqE909+xYWw3RZx8GiOtIxjYNmambHicYP/
eKByh5+eGu4jXU/bOgn2REaf3bKjHK9Ylk5yMUzQZBkCVOMDQtGTV8VRPKLYW0kJ0aKS/qvaJnte
ay+aBqhcursXcrxuSpVvUzT7WFW2tWm9+JhOOiZ80Xa3PtVR2BymdYMhf5FF4RUMnm++CodhxHmi
ihjXyRSdXDPdVH51l+UtLt282HZBV20dNxuPGqWcsa5T/xO9WD6x35rBgE1uu84zVVsUQvRXuDXD
BWXoxipx6qecLtK1ojoXFWM42n9VzRxQgJkE39Ysez+T9868Cg7EU19avF/YwKxGvL8LQ0Tpl4Hc
n6cbWUjJ56if+rDxv5tf/uclBB37neoyX0GojARlzC0EhzV4p5+vIFpialmW+8o5jumReUjcT8Lc
vLsC4hsagyJ/3z/wd1/igx498i62EsmXUMmCWkzw5WWIr37/NUBP/eLHsGZMpGZgpP3wY+gQl6CN
RsFF7Tnl7cvU0rtxR9b/918GHewvX8bk0ipIFtMW/rGDICji0bCTLrhIfGgVc2dD94xS3Utx1dM9
ZjUMPuZ3Fv2/KTGDV/f3o8TpFbbcL0RN/uKPIUIHGO5oyIYoho4KH+XdEMFeRSepYdousMCfNsj2
H2yJdRvJ01JxMb1vTLX/AC8ODJX30T/vlv/LEGEz3ODRNnWb1Y/+cX/cyB5fjzX2F7W4qgOxGoFD
vXtRfvHh+vCOhArCEIJmClAA77gpPowQZD0SQ9pSXhoR82B/UNSLS52S2Go+b0ncuavffz39w3rJ
+ctXnL+jd+slHWdrxFNK0lkiFe5xM8xzbApcNkVQNNd9XTj7rjVL8NlQkBprbcWEryp/8E0wTy1n
YJBbL4Pu6jvLwKk4VpT8EfyFLeSEgCHInzmwBspa/dIpyTd3UJ4oWbsqNF0sSN8CoggIc+YjARxD
D/H58gSFkxUFdMVZG5Al0drEMbYOGJI2/jjkywji0cKuuZixqqGsR4/YTVB+LaMbB6EYrkuxsKPu
qFQ+vyVgHJkPIKsCb0nae0EZ37UPuZxbgbEtCu2qA4OEcWGXqziwkzg4FKDIyNDf1ySDqI5+6SZj
tm5tO3tqVhodzlFLoKp09iFGo0VoFT0dUXUDLH48FdKebu2WFT9bfXbatwUhm61VEdulGWxbYWlp
r6cSwsZSZjXglDQQx5Zx8oxDiJ18wyHFzFfhr3SOFks12uKOGKZ3Q8KCzfUpgEvOBMUftRS0+bwv
phDKWNd69FmY6peUXNiqN8VpKMUeVpnXJeWx9fsVeLYdUfcrFeJc7nPODuOxH4ejdOrCa6dMJa7b
H5pOfazg1AuBKT7Lp3szJVgC8iE5RzK/ypMWRjd7oinZqwXOtKEkmJy0pO+qwQHb3SVgpehaaGL7
njUiVh1FDdZ6VoK6lX1L7EUnShlV4zGlh3yN7whEC0phfxGhc9NIUJkaq0665Oq1Ru2Wn0ZXMldu
+w4IF27XBVyOlRO5+FjbL3bICk2z4mudajBXZhL8l0aln+XRaXXdyoLHOeYyqxebvu7WKnuvliM5
01SvKIrbKRdXmY+tqx/wVbdp0t0MY3hD0/GuBg3mlM6TSPLlYJs1NWIKYYio/paTHYCsSaYHD/oE
Oo9yG0ak7qvaB4ecwr1KaFAEbJeSRgpNDSNi0O+hfQRXYdSdhBlD2c42g2pCMMiXcvAPTVNwt8E2
O7Vzf96ZE97T8fPyoLgecdMTF0A8NjDFVa7xIOoGgCF9M1VC0ABKzbhNevj2dZrDTQkka0FlnzTT
HX6GkNqLFkG2uI070okxJ5r0WahKR391ZfxKdvpUVGkMsYYmAPzPI/m8PmP32Dnbt8fMv4fevNb6
7aHXvv7f4rX+9PpLay5/+cfBh3rGkSJY9hN5/u6P+u82D1wVhw3FUgR2BC6iP7d55h/cUQnwONbc
iYHf4L11CvuoRbwS3wBeJ+S4/x/1jKA1jlyS2DgRXCpifj4kjFBT+paB+BxmL1NzHobndy/LL449
cKM/XcU48Ihz43MwDTChLg/0D/qc9BtBad8gz3QXrljafBtLcU79+Mas228wdD1CQHT7CbKFmpLv
QI1u6ypeSZumLbgFxQam9ya3obg16l0sw7Voyi8KHaoL3T0ibg+0PjB3TmF60TrNTKjEaCvjEmQo
ZDBDMGbyIi7NsMpGQC3j1GBGNXfDfEPvTRXT/HxpH+f7u5hv8pU+I2nm270gcwwQkBt/PN/93UR8
lvM0gDwSoNeH1UGbZ4VAcy52iWM2ZYzAAGassK+x6JhnjHgAwmfMc4c2TyBUJR86RhI2ncgVuufO
s0o/Ty0p4wsFFpNXM9D4DDYGA44T4q+fGHmUefbRGIKIP0FaZSpqqDhcY77wgrK9teNsoTBAGZWL
B1fZ5qXct/OEZTJqDYmzB3kMLYYqV2K++8q2X32tgwBoE9V0FViJ0Ws7z29QGohoOts0iC8KAx6J
J3jH+nPD4OcyAEL+P4p5Iqz17pQa4EAZFeuy2lrz7FgI9yGep8kpSa/qeb5sGDRbBk62WnOOM94L
Rdy180yqz9OpMZGImefVcJ5cJSPsOM+y5jzV+oy36jznFgy8ksG3ZwDmd4FhIkfDZJezHxiSXYZl
URhLql7PFkM0h+wFcfEmnKdryZhti+4UMnYXxM6DIX6k0pPzj8E87Yi96OkttUh0FMfpo84IrzHK
Y/FdF4z2DlwfZahfrHnmr1tqG43mueCHJ/AwQGuevgCOBxFG1B7ZwEiGY9nHDpbugH55XMHM5LPK
YCMLIjvwKVjHUfwc+PgBh6aN1wpXQbusvo1IFg5YFYGEIWv1WUHSaOwRARCRo0PsUM300zSLH7MK
EiKHJHGdbLRZIRGKfRcimbDWQzuJwEGrGQlbDUuhMisszmSbJ7StfB9FFpSYkl5ptIEYYUbOCg0F
hTM2Y/70xP2tioyjSPQcfVZ2zGpAYdLMm2FWfeSs/1BwMYPgjQbdGHUIRqq/6hGMghblKEJCUmct
yZ1VJTi23Sp8k5q6N9kpe5OgslFhO0woJjoPs0ZVcc3w2CdyuiVlsKy/a1lF6IkQ7m8qFXXVTmBW
8ln9KhxLx2kj1QNGn4UTjuBpqBVt2d6VokRcl+yQNYPUtKZXzRbxNF4FkTxaWsAhnJT5RptMinIm
FzKozpEp0nJVtFUBFiBKLzZR8YSgUHM9dfzEvl9+NqfxofaNVzuptjzfsPRo2dLVmFbHVDn6LH/n
FbGJiGVitEkLVF+TEhdkVT99lEl+03ewmsBTXETkIM2RSYqFZ9ia9IoyP9gVZnUyo/z3/XUujWBZ
smLnGbUPKn9LFHsFJWpZMiJDRNiEZniiLPkxYTttSHXfw6bY5EPyImKSlE3ULolUWgetVVkpi8j+
VPasEwERNxH+qT67I4PQrzsCbga1AEtjqpwlfd6IZlFUnyYnORs6Swe3udYqgpopJZsD3LQ5Qunx
yCNJ4EuKH616l47dPVuOu0zPuOsSGveaWoarsW8zl2eO3PeqVbzkoiXlGCnfaP2hf0jWSNCQW7wa
cM6lMFJmgzGxO/S6sNvkOAI2PPrDR7/iK+gyvcupPsLXr7p7OdYk5uPgnLsmYXnbcAjJ47QUhX1n
VgXTPV2YE/ITicJR+P4aJ92d5Y93Tm5OT5OfR8tU0iBjyoDtBNXKLUrmplS7fAMat1jiVqMDtjPl
ExQheG3OGE3LNOpDTqWw3QpW9oukL9eGk5EayIpnqyNSCZZvsEeY8kCcRnufVOO9GsarLkpAJ5Th
vUz1O0dW7mEYh25XKMQ6Cz8FhiMpICpV9dkglOOh6VdP0ipp9C1IEiQhb3QIWPBmfeNJJ+J16+vm
sHYk/tEYh9zfTIl/kXwMbhgaVw0XkCHgzI8zYpZZhhPE+blNKHkeph24QSbDZv37W4D+66/D6MtA
Rw7pL5eA1p6yBN/iOUvTE4Ud9zyV6DzOXnhc1ot+hKxVj+m2G8p16iTbRg+PIfgLkLUHnlRHk5am
2E2uqYK4sSp1ZYRyKUFls0/7WkiL2ZSPgJics6UGr7//1n/5nZs6H0ohTJo/MZG+n6LNTBZR6yb5
uQeYHYx3apzBAjn+/ot84KjP6p79Xd6bA1eIEB9+D2jX5ZglsjuXAfQZOj12LA0Ei6+Kc6PrwFMr
3ZNSpsV17vIedNVd7/QQhEdKs+ZI9RRnzFGTvJah4d7mnEqy6BgpWaURzOYopyBiBtqcIyXaM+Dz
mut8bqwMFW6E03xDU/1r0qbURxEynXqk9UazVmEaJaukNT4ruLdNrI1LnkoEX7CzLosKsEdYE2kO
QPqNobWrJv0rDJBXJitcB+S84F+dxsnGkWiPylbV+vikhjRcTgNY8kDDehK6CC1aFDz4Usvuqp5l
kasFRzOjBbyxynZraf2qKzji5iJcVJlkVar6xVTt3BsmRljNSI+++irFWpr2jufis6MQsbR7bTvG
4jk16hCSCmiPknyJwW5kElw9Bj5m0IOxh7Fs2dZtZjI9Dnupdq9JpIef0Sw2qoV7w07Dk15MWM+a
ah0Z5JvoCrnJyK6cXVgVmjUNh8puvuN//6fWiy3op0vz9/cDH8g5fze77eaqn/fvOh/QX86ftWcU
sFfDbbCjlF16thTMWTxPXwi1JbgkwqVmDSTH3hDy6YlXBYYJ+dWtHjQnwHALoEAns3CewFKH64Y0
8lpKVewyU5cA39kAEoen27wQ2RYjaun1WjS3nNMmQxH3jZoViDJmdRtkAMzoCGfj1eNyaXHv5WW1
trLpc11Yr1AJTHZ5hU15uH5v6SN3ZxbaRqt5YD+w95pKgjXFeoI9tOt9/YtlD6SUeh4Dbrq18uHO
d+Oj3dXLqjBuISbxDgFGMuq3Ztedkji8rSLzJrPdjTW2T06SiAX3RnVlVTSCh1W3Qr/rls6MqjGI
+6sIRx6knVeF98SydI1nzVCetJA+v6qdjFVok72d4KcqQ7HSRL1R1Xjn5t1KJ7PPaeQR6VOX5NIO
Nnx4uLcNxzyyTtreGXOkwBl2DbEQQmGfK6N+zW1rjupjh8u9hD4uirKOdm6t+0J4IUy4ZZTbS92N
rpOSTTElmauChL2VUvBVcqEprIC5hA9jp7jXfdV+oxiMhNWIJ0iCyW4lUT1683Ss4ZpmHS14aZEB
8cbRgmwlgomFGTfURGJRBncOkvexKNpFoERXdL+zsqZfOVEOLLG9sA8g5qTPbOfWUAJzdwdmUdM4
NVO/p1mdUvY6Kz2pVDHESGUT985hivFtu+RReo3ldUNbG34lbR3jsARod+U72jbIW7hA1TF3yNS0
bapQ1t6X2zG19yLoD+UbA2ImDwHmwV1J1W1YIn81TAmptYyNbIW2RvVSf2WZKzsBbumcs2FtjesC
v5zdPSLSYFFST/hJ69Xgi2Mc9tTF+75/kHpnLxsqKpY27KBN38Hv5t6wJSfeeKPF0qrjFmIXUGht
ciWdX2t/c7T9zSf1Y7JVD90RvFEiUVHRFJtThhF86ObV4iWpTxoTy++PCgb/D5sNbDV/Phlmqtr7
J4MeEgPIM54MRfGVorpuAJB5zIMnvIW//0Kztv6XrzS3RNN6TU5LmPPJ+E4/7hvK4mISiJTgjUAf
IqrLI1+fqwuKXVgovOeG7lCWEW2MmqqdnAr4hRUXGP9jUE3Q//jNaMo3aGXXQ25g5zDkgxIVl0K1
b1Oub0w9y7bRbwc2l17ewrdso5c8Fo9KmJY3gWQfb9JOs8lMOS/MCUQS+6ErAXeHv8lbw35knXhb
TsT9DXMvDQj+hk5uYdyZpXvpk+BQc2zbCuVGes6HCUBh6CyHUnvMynoVpf6OXg4MloOzaM3sdVJH
c5n2wXMFmoMqdZ88RGMEf/Oq/rxo+P5gf/+izvuxdy9qYmHwqH1nODvDSzh9Gp2/KUT+u3//w8Gh
Kil35CAZaS67pZ6SmNr937wtfv+ueLNKvfsBMitL1EQPxrOpX0VCW/AyqeH43ZX3Pw/Av24JqaYR
Dskc/Eyz4f3nV2mwGzaogp/C1Zd6+7ntM+4k99Fg/81v460f+k9W+yxOQRQlNcgHipQiN9Ofv9AY
R6CWplI/c435zKHm3aVr36OPYBEtHxf54nFHuf3x0w0k14dh9crK9xOf6GZr7H7/quqzzvbnN/LX
A//DBdDtIrd0Ax4j7brz1CWos1u5ya5pkVu5yxTRfMPrvNaWmK4W4crFs7sS5/zz778L81ffxft3
5/zweffLBc2eOnrN6/5EEnhlL9q1e2UvWFktQm/zaC6Plpdt3HO4Hrb5rbm9I4u0GbY89xbTpqCb
xUM681xPOcptvmkuIcL9IvAeioU8q8txY+7cHSDybX2frW9//61/3Ha93aDff+sfXkBFb6K0VCLe
lwtMR+vma7ku7zSP4g3P90IvWv0/9s5jSW4s2bZfhDJoMQUQWqYWE1iSTEJrdYCvfwssRWbXJa3s
TWvYzUpmMALhx4/73msX63xfbq6fj6t+Z3hc2JM9ytx9cgam5QUrM3W/BN7jz1+V+uPw83++7uby
59+9oTGK1cYyeVXRznEjb97mm+C+YLWCXNdFpeQ2HvKcjX2ut+org7TVz3//8vh+fKq+/x59qDaU
GmlqK3SL8lyurHE8zFJ6Hnq5/MWhtFSVn/2eD1XHJjplGOZsOtNTu8P4WRbb0fwENamWsSlV65//
q/65xv1VHT5eJiUEH5pRJ/05glc4BbdVePP/9ws+3Pk0YWemmXOBSo2DmjAHdH61Df7FB/MxwlzK
K7uwJr5oZXXGxbWuVILv7F98Kr96nz4Ut1bJYHxbSXcWy6cyZyA2/320/A+F2vrwgPUAB3vE2tN5
HASA5TMxmR474J9/HL94uqwPVckMQmliOMdpIAi2cIpVmnUXTes9a2rBXqjnIfyD+Pt/HkD/+PkY
31xYoFWdj1mmtmZpQRV3/VnPvzbJOtUihnybn/+z/vHj+e53fPjSZACPpTrSxZkkQub3N3n+i6nC
r37Bh5I4p7nQkrIezjJFm2F0qmW/eMK+nY8/++IvB8p39S2KWfoEGc8xdwMXH+qeUIcTVwRv33jR
CvmNm/9uHvw/P5klw+WntWb5V3/3K7GaQytVI86oZwbDBVX1FPK73fENgepucK8zvGmObmOVe4pr
30jubbdaTvXrS33V9tza4SiuYLhtCy/a/Orl/eNB/n3J/fCw2nEzykrAl065LAe55LabTN8Viuem
G91/Ktw9kRyHr6iVSaR/mA74Mn5RvdSlPP3sQ/nwuQ9Sa0a1M9FL+IM/+5DyVXj9h8y/dc7mUdv0
/ou6DtyCie0aU9XG9qRfVOhfvQTrw7kniV7Si7HqzmRJuoIkFDf5YqwV3zr072JbrfKjtZE20tfw
RfPEJr2QLfn+82/Xt4vXT94F68Nzkg5arrcFj2azFuvaJQlk6ep2qXc/7MRuhwvJnc8kWT/J69LP
19XGugIh8/tVtCNz9jXzfvF6lovZ/7yev7/uxoe3xJYcdkMFJaVe6RtzY2a+WCOqP8YHxf0c7oCI
evau2jLUOwrPeliRosJH1G3S9V3sL03CH83Bf6t7nS/Er1b3Hjbs/xWsLT/5597+m9UWQ4nGCh7v
7A+oT/U3TYGcBXLEpg2x+Kk/6QEWOdxkXzPPNRa52lK9/nThmr+hyTJUUmmw+nMj/lfIEyZoPzxP
/E02IVMLZ0hD6Li8lB/roBNITI5su7oU2BLXJNg37GUzlfi64iluNFIPk0ZB99iw1EqJPZuNblcb
ytehlFGA5fm4H2EPQDpn8t/J/TYswxWDFHaZDRKvsmD4tAByEyv5NAbE7Si4/hFNgZbLCG5cWdgL
aO0m58pm/cFowCjWozaRiDsfaWwecBASSxc/BYl2n+dxcbEWYCTpF6PbLxBJGf/DPocrGehArVPH
ubFTpjSYvt4hevbrUJXG+6J2tggKD0klprUsipXUittaGS+irLId7pPzQGgONpKNIbdkixrimFvN
XdQy4G6m8tQaFtGinbZJZScimLP9POHORP8WDitrnhpPiwNyGOs73ZnWRPIZrqM3bts08W7IrFdF
iSxvFCMNxkKYnvmWCrZmAIC3URkrvmDq5mcNVx4m6EGoTFtDUnhr+ng4ZDGQy9wIz04V7x2bML0k
A/DSSV+SJMNYV7MyD8t4M84EV9UB605pYK6pRERU9rO27jO4LmHB5LlT2HktOvVOu8VNelu2X1S7
/Grx1/UTb1lcQ/OKlPYtAuLptQEQTt3qYEhqS1JLggDBBGuaMZOCeBV7ZIBs7dK5xatEik2unGqR
iJXMgJ0d7hJ9yTO8mVX1Xmdy76WD49uS8VAVk7OvhwQrMWN7sw7O8qLBsoN0HcTZoS276xggOMtA
II/FuoSk4itG/OTorc6WUnW8oM0j38nq9RwDQKinZ/yna70YXvVxqna5NtwOLRNrZR7f+c0C1nf2
Pli1cilKWK21MqGmIKExSKOTA5LmOGjNJ6UJuKQ2ior7Eq1iJOXWqrbAzKymogXnNbMKRNuITbE6
h4Nk7atF+Si+iSCtb4JIraolF9/XF2Rh434wNIK8rXVTie2CdZkMbfS1oHlxdCiRrPWRLlb8CgbN
OGm3zUgD2hu8xTZJFVIezQ9aVRL4puIz1yrrzq7NQ6dM71lUpz4S7tssiMKDOQ+rOSceO8KV7ST0
sybrS6b5X5K5crAsW1+ERZ6qZsM7NQanhd7Z3rCo5i1uTgECQh+DQ0VCUuMBfZWIFsNLVeI+D0Ib
IK6Y+AkxlERKhhOj2uBrVgVXFq49QYydjOW2Lz2zh3AWzNmhVgt5NbPt2IY9GgEkAmQL7cdEBcuD
+COBbw6rq+uOkS4hlxkb412Wg/S+lPUKGYWNoULJIoQw34ryf6eTTo/8k9Mpemu7t384mfip704m
SI8mrTWwK8cyuXT9pSjTfkNkwS6RP2F+tuyN/szcUH5TbIa4nFc2I9dvVs0/TibiOEC/sm7+pjT7
t4AI40Pnxcmk6wtWkhPSgEeBsPrHk0ldfnmV1dlVpm65hs7GSNHHRwyC4aarpUsVIe5tETilGSjD
ZrK39QTz3Z6x0A/CZqO7mDuce1SamUeiPclbmlO5bUjltrWtnfXktQYr8PNbQu1Wec52aUShxYD4
pTU6siFGlg1oilpRv0VWcpq6/t2CYzeCHOgkZDKTUlH29M8m5spwckj1a0vSa+O83yZVs20c59Di
NSvx1s9qspLYIrqKMRxNtXywUGuPKgvoqdHjTTSrbxlYOsypz7AcjLUVBD3GSeQMDbtUCIjY23Sz
3cOnGNZ2UB06FV+blqzSKLkLBlz/QtPYcVaCzMcllMGu1qO5JNfz4g6aBRQDtiJfzEIpXOrbxdGy
L0RMVJtJZQcYh6mGxTC4b7KSr3kvfLkYJYpJckqJqfJjiDIkNFQZWVKW4VminNgt2SvYkoAtO9yL
Y/bQGY0E9qXwCUC8iRrch4Xt7GGPYfg3upNTqPd11G/UTtwg0ZZW/WIqw8eBY9sm7GExOarFjYhQ
Pem285Ikyi1jJ+pSwEqQTIHcm0ztfs7jFwLZ/DGjnsc2KmMtjo86+OCklr9C9jS3CNVA7Mb9tCJR
hOVuoN30XfQUJbz+cGJEN1PmPLPSt6ROVm5VaDowZXgiSQoII/PHsHH1GMHL1Ckm3Qe/RxYtMyKn
oKOJnoMpvxWNLrzSrlC2aP0mDJkh1UVHchh7cH8Etc+OG1YiIYH6Ji/7S1na+LoCPve2d1NF1Iis
qhelj49dEh+b2Il3EhpAzzA5GHWVDazTTqqXS1rnJl21CbSSkCnnyArTomXByx628VlOypc6qeN1
nbGF7ePGFyQHmyMvlCUW0+hs2NaKfFVVgtOMcUEPgU0K+11bVA+9NGzKtgDGW64hpztsx+KWDMbB
ITpvBHKXobix5eEZq9h7O4BVScRmjKsJJxsBj4W5SFb4V03WtUQ976XOcGen2Zr4rpo70XAKpHg9
yQ6SueKiGMVVHdAjGfNF6nFTDhPk7aV17PsGmUE0++qMuMekv+EBJeLMlABC1qjYy4K/lGVV5SHd
yllUoqPO5eErPMnUF7mG/GkRM2tp+0mAExhLG+qI6BHL1CSy946zUQpjFymo7maI0g2wYS127cJB
gCcJ2lWhEahmRSQ1SjZaeTybISGk+zJIE0gR+pfewKjXk1ZZasNzPfefIcMnrF9RCITaeJ36ZEnd
MuEwdGbHWEkdUIr2hdoc1DDrDtSeJS+ngrYiatAcRd7tjAL991rDTGk8DHJq25tIb3Cv6jA62IIW
BFhYoplXdh8KZWUXki7cekB8u4XRMyEl1Iw5PsPAnvo7R86V7m50Gkk79KJnNG5AWn8mqkcdLmlX
bcuQ5q9KEN6Xeqqv49gI3Zp4DqUJb1tw916Xir2uF/26kRrYKJJ5MCwB+x4TP7os83NNug06fhMe
dKI/pxLRP9GAp1iRZ3OvlTzMaQFxlv+cqYRRvlaB/gaAXvU7G1EpGrGvIErQm4GjJ+VjxBMrD6zy
O1S3UypOU9X6InYYkFXSSS+aGynoD7ldvg7xCMwbYaaAH9EqeLjDysi8VhN7jJCGPGKTtKq3OC1J
iieioFNJ79AI/aXLRYmoJuegdY5SMr1kkfp1VmT+ltD4mg45gIrYl+Y9wFRypQ3MyWFzm5Je5MoR
afPCF2DJI+skkzbnO6J8Y7+zi0Bje0JifFgDr3Z5GM+mteTZGw43EUm6AXyg+qNlzPgn+hOrQMwm
xNbxLlRbq6hxQOBd3mj6QG3XKwzNsbWaUSzhxJbuu9SfjfBJbYCe2ajxYA5xp7JTZ+SXQ/NYgsG1
GcnMLDLb1+ALseLGIZKLalxZ5Xis7A6tkw1fJVSsSzwWpz6zclaVwcXBD97mLb1Z92Y6I0mpQ3o3
cfOhg+R2FjgcINDTH4Ke6KEe2nCZlftESnmN/fyM/Ay9dE/gcNrNpQv2joDfsntvHeeBAr2Wq+yY
5lEHH1nbMit8wCi6kWJLeGg9d9znyNSrbh2j/BRz0KFTlM+6jN3a4Hs3FHoA3klpPENudqE0cCR0
Y+gSS5FgNk93jgG+eAgLL7HVetMa8ejFeos+t7/SiawLtXscckAwaU1r3aOlnHpdrFI5H1ayYtcI
rgOGRCF/anFVgd+LTFCSlI2JmWjX8YZ60PMuckWkoW11+77gKlibzt5qxQN6ahnPP4cgJWstxXO4
kUblkBWO6ZFUCi6Ib9ohVNSrqRBwK7VV7XaFnO9mlVQZpAUk22h1QKKwhkgivkZ9gmOrRDJbYIeh
yFHgjHE75ypfCcO+qlDgUGRAbDFL8bkowyc2FJe2sD6jN/osTHldtSRPpeEz6Tam32nxLsirZ7m0
t5re3I34ZVCuYF2fUk/OooPajG8hvL3eUt+dFIBfH9/MigXvpZPvCn0p4mQ0U+uj38dU/7XdOvOR
n7TdBCjEU9n/Q+PNz33XeOvAQZATgLvFrkh3/V3jbSkOnJPfSerfJY/rGB9lFFAy/RqjpG8uj78b
b8eBrQ68RJdZNpDX8i+sHMq3rdHfI8al8WZOBc59cYWYvJQPjTcCXYSEjVleRSPzBRv0kYQqnTmn
Pm4RVLMEmsgk7uURDjth7Qc5y2kqiVFMdxkI8Oc4D9oTYy/htppW3yUUjq0h+vY8pkH1peoWQX0G
qjvKrInphYJXvsLjxRCJJvDaNnl3qRNUd5Js4nhAuGqjTlQycs+D4pwCifpiS9HtJDLjEiqQJ9Qw
Gjcz8MuHzp4McNTMbkbV6E9dG1nQ2wqYqlYvpWvFmMpHxH0YyLRWfUdlnT0bclZsQwP8WVEF7dug
OfIqku14ZTUOWZzJ2BygkFQ3IxfsjAyLNQL5yh/IvCAZQyr04XMJkUg/KEUwT2iCy7RHIN710rse
Okl0Jo+hr2lh26K5WBHtohUqIrqLEocqjwqO/DuKkDWebTLboJGEOgMkUsYANxAHOqC+9g26iPhg
SuQru9Ayp0/JoNZkypAwg0pevJhjpr0BJDZKpGhmsQ4jE7x6Dx2sG8v5TTOMReWnxjL6KhjrcUi4
W1AN4SeepNiTi3l+C9pofjdj8dxI9boI471kMcPJFXqa0SDMQqpGRM+20k+bFNUzJa+bjmkpwHGh
amXelpewQeIxjJEHdqRo1kNOY53WT7oVM2JzlAeNAr2tJDzhkTwOrmE3yDKT1ryz0XLuOqlzHogD
Ms+APGUfsjpB8mpnlPdBK+d0n5nzSbJGaa9lgHQrkV+AhUp+0w3wqSTmeasxq+vOF0EMc04q291U
BcUtt1/gbHQpryF1j9RwK3kQtHVHK9GTE4uz5AW3RumN8wJuSOfyZe6FdODhhaNlFeMF82nwbM/5
+FCQtLrqS4GZNBbVNRqyxivAVmd+oeto+9pWh8cHa7jjwmi0Pq7VEUQ0WLmtOlB+kRcTsre3xKjd
MGW1CekqTeW9Kqt5XS8WPofa7sLMMv4bgfxO99WZWPykFpfZ2z/xyJef+q4SL3p1BUv1n7DLvyqx
+pvODARzHG42pg/sYf4cztvwex2FLkdjXg5gk8XYn8N5+zeZkT4EKQ1d2uLV+1eV2F5WbD9UYvDB
C90cICdl2JJ56d8vKXU7Jxu8V6eL3YXN1Uq4dxJfZT2Xma7upzFNXyals9Z2N8gnxp8B6/khYmA6
zI+WM3Z3kVxmoIYUqodTBitL6hrAgiQv27V8zrLIOQ2aEhwNw2luYLvy8wOme7+fu0XNy/RS4gIv
VDK02g4LA+LpFBydDNO/GAOfCHfY5FUrXvMoCvc4mWe8RF3iMwokVIqlAsON6dFRay9aKlSQW3vI
TjZFUhoPRVo6q6Yc0Tl2TkAqs3zB2o7GJ05TzzFrAh5jA3Teom11tA7FUjIv/W2SvFeTMuo3XQFJ
Y55DLnvVSyTCAMbkQORQtU9KujqRFOlOnZ0R4omlXkMlfJbTaR/3WrPWq+LGIG1mFcudtOnMcN7P
Ya/to0i2VpmWHRQU0jts3I4P7lYnPbjQV4OqBgjJB9vl/oQBLq/wiJfDzdwkhVtlbUbQmDETDwgU
N4UXSGL9OdEovcPEuyP1nFnxWGl+HivKpcUV6E/WWO3qqN33avJKBIlw8wxgIquhZIUcnkzQeu48
OMnRiraz8TOJnO3AVLaJLrmT1IQkDg2bvEuDhb9XvQ1lmJxEp7+DCIUOKIdwTwzGvCMDMIzrd6Zm
3eRWqCG5FBt1yB5VsiCco+50JKeo2WWolWup2o9y2FqML+JdJUENowrDXMY7AHSREW6K12vQw1Pb
ciG3ivzQasq7YZQ9SvvxbmAPxLZoSL1ULnQ3z+WLFTrbIi83g2YcE+GcoJJtIgUX+ZyFJLAG5pUE
jPUcxpd8joni7vK1o+OSmI3pZHAdrlLpgewZzn+hk3AGWH3ug9dcbT5pI0QYJ7I/Cwt/pzE91A7n
mwgqtp9Vi4q4wGV3rlP2EZ6qmf1nnfRoj74MUFJQiiOZ3jCKLMJEj4pJvgpaca49lRNovkUg5jE0
1Xj33zz6Gyhw0bb8rBizXvmneTQ/9VcxZh1KtCv9sG1Y37KCvm+LYbywQiWTgZbUopn+uxjbuJ5p
fXHW0Ml873CmGFsUTrDoy+JVpo/9F20xY5QfijFLVxnnNSNxW6Y3tjE6/1iM06LC4ygn8gW2Dg+Q
sTxL2vJUNUm/GnS6IDkP0q0UdNxVFecx6IbIDRiD+oZhfery7M6CWePio/b7rpMhcMafsCbu2qE+
kgiIb5FAWtZwYJHMoUMspLyOlgg3rTq2h7yud/VAUzLHF62Tdjm1G6qlqzQthv2AfMRh4mputfa2
iJPVTNtoEZTcjWbpldJ8hQIbLGa0W1XrIAVbEpz4AoCxpPBVke6lCEJYMCQoYOIY3JVJcvpzFk+v
YwgrNDGS27ZBO93UrQcQ7pDLNSvdudhMZame5Eq/RLBiXVkB+A4JZCj6g90GXypnPMSq+aoyc73R
BaDSsAiA03FVZi/7wg5oBeJBeWPHSpJjavtz2zzGqvwlZMzuUitrz8yyB2FJjOBgpJeZs01T+zRl
YbRS+DcEcnqK5+qtTfDlDUEar8ifxFil1mD5jIA9K0Poxs4fOBsvuDteYXHBDbTUo7DrTaengHjB
IWFfUdZ2G8KBMi6pikXIGOdtPyqoTWfsyKaz7kfjNA5E2Xc2VF87uYEARax1IY52O5NSYyNVD6rn
ODI0j+6cECEnfaxb7jdp2j0b83gYqTBAwvKvpd2cVEULj1HKWjciPajoTBywPc6MTt22AWyQtg7v
1azZyVUEed7qnP1o9tWKSI0vRWjdhcG0IXlarPIy30+l+o1H8i70aom7AcDSPfH/bYuS/bU+2DYb
CDzQUdJdGehnR0fk9+axVNKM6RmjBpobn6DpiFlP+zVX6m1iNRuTU8fr+iZc8x+elL5eVSUuTTkd
Biwm7Z0yNJvESF/0Sdk4IUW5sg22HWSBdiWOlaLIb/okmtYAhdd6h2qQw3k1RThT4VPZhGA1p8rJ
8OPli0J+0jZqWB5SQydYEmxHSkOip+M+iVD3Rw3qG9j2EDoOHfoDUIexNX3uw7J5ihBxEg/iwHk0
y8K6VSuIByFArly6kUnzusVBxABEETGcbXkNm5DMczX4mobiPTAcGRMeyyG5tvZWIR5bs/nUpdzX
qrK84dzaSFF6o6ARgNRneKy+/EqQU6JZgx9ncrO2MVBgHdP5xwF5tNihaiLZYhPRV1HAtdnJrNlL
hpZQgTj3O+Demjm9CRPCoRCvdkCX5UwPfNDYGBJpN8XSsaijTZRKuwJ7vpkqXphkWJuDbQJ3ILXJ
0xY2GSb6vNeq7kmpG6B7eKRUnC5Dzp1Ci7nbxHXKSFcFIWdtRgboeZXzgTx2TbKZRL8G0eINRAvG
EsnmaWFhRm39KHae8wSbTttEx4EUHJ+pP4DS3IQjnBZbbmVnFhqfW3ApMgGMk7DAitMgQWY+YTHa
jQ3XvlwlOZtAYj5b3PdSv+3b5nPfDBeW7n6b6PdyHDKznZrjnFommIBipad8C2XWW7VQnLWSyndG
H7zjHebpHLgYEtQC9HvYkpQmPKmGgaPl10CeIb4D/kti9CN2TLC63p9GqzgICTFfnmaeHtr49kiA
N+0tigYWhPLGsforc/onWa12gY45aKDfS5OM+icKCXNfeathCPXiubnoMgljYbJdYMlVPJwDc75n
Do7/ursJ1H7f1AO0QYPIe4LD5lldm2az0iRlx6x88FtywKnC2toxugNX7LXNqMBz2HLXlfwJhTyu
c7V/1WCUe8wqtB00iKuygLLD8EaZ7aNjT4M3z2xQzHncy2bqMeKNPPzt5MtJ8QJTN3oy1MVVy6R1
mk1X1bG/kszNpqQCDc4ttLElZv2k+4zkc0xdde0s+0HEmPxzA/q5yA1nJRI1e061YAIBMXxN2h4k
q/yY9QVxZ+UxcloytcCU9rPKQq35aoRYlXulOkcCNVwyP6SKiiN0SB+pwKu2MG4aKQBmITsvktk8
iVocxjxi6drnFlIGwswUppJAqiPB8AYmjt51lHF92gU1EgZWdTUxlUR5p49DJo2oHVhYrqW5Gz1b
2KtMjnesKxNMf/nsizL6og9a709DKTCPK2/OPF+UBpwE7ULohzjM2KEkoNHrr1ZHT+p0yEpji3IJ
J8pHfPNUJuq1zNVblsSjO5Q6ns72s8EUv8MxbknTpTUF01zqV4PfHqBO8SAm6bES5X0Wk7IxFppf
ZeDnbahfQ0qyCP5h2EH0+Vmf9DcN272VwQJ7qy+BrmYw5MLLFW2IfiFoVZe74I93RRNHNNxXaMmM
7pYe6fu7IrFMij45mnNR7nL32VgP19rDze45b/e37QkK5Kr0um18NDbgOLblOtob8OZP0e9y5P8m
vwtq7ScNbvdG7F321rf/MPvlJ/9qcuXfaGMtLCaq+UeW2V8TB4V8DVSAOiKKJRWIsevfTa5s4ecm
MYhFPRA7/ujPiQP8OrpmkusWBK2louL4F00uIUQfnyIg2zIvweZp4aov89K/f4rgbmppI7Ly0tOz
zSciyozkrOhyoq46WtgrZ8vQecCNz0ZVX3vuXjrT11Wj5veDknHfVPJjrTYv8Lv2WVvcxnnsd5IK
dTgJTrZhnPjmpF5hjZtQG0K/adMj48CnOSneya8Qbjmo7eiBc70xwnmt5PDfInzTPXZkX9UBfGRd
cmK6CkDEBgKhDYXySYWAS9pymK2B4NjKjltBE+/B93bhJlUkRFHy4Jhg3iotwSwjIStxF/aCFVv5
pracvZlBlLjXgg7NW5CPSQ9Sh5nusUni9iUZAxQNyIDV9dAPyUxTlBystjBJRneMltUbvmTf+ZYV
wWE6AIr8liGRM+MPXUITP/XEMrljVjxZS+hEx7Da/hZDQR5FFRDEZI1EVCQ2YRXMP07MV2pPbTvd
pfdb1XOAUwvBSRmQBk7mhdTMu44MjIHNXjGMO9Rk/kBGhhiNizOYk2uTntFkKtKJ+K0iNJEQDckt
u/6EO5bpM8kb9tKFNY5yO/TSziSbA+Db2V74w1rj5tK4JWGZfjPfghk/hg60BTI++rL5JJP54RBj
oJIBwrKf1sPaBkp4MQn7duusustIDbGK2M8qeTMa7W3TsagURGeSMpJz3sNxf3PsFgoHMSR2rqlk
s30tyJvWySnRyCthdw85j8yLsj0F5Jk4affSkG9i9bZfkXcCkuA8l/nFBqmMWvJcQD5syUeZx/I0
kJeiEzTNZ8mym2U+eSpJQGI5+SqzZqy5dO25yWwqU35VjWRNUuqp0rpPYQnhZfnoQwuxUKN4ca5s
bJJccGx3LimvJLFE/lQn58ZUCaFhoDRLDwZZMFmyfMLY/0Gm71q8zDiYXIf0GOSK3A2yJ64xD6Uc
EfksrYPKOALBX6ukz8jJgNJhUo4juTQDL8JzSKpJSawJSK5BE+U1EbEnJNowaz6MJNyULYpZINrv
jaVi1RW3zRKGE4SDcQOAbhObI0E5gU4klJpfmgwnOj0QeTqxWpIct2xsXEPUF9k0jqPCI9U7+i5D
KenV5siIpXW+TCH+LpGj7dPoIMMbUXemL8gWHcCk+1jFX7tk4vHTTL+qgg23uWktacEroo3T6Iho
bef9PYlX9EAatx69I02jnMGQc3F2EdFbnhSx768GqSBmQzkFun6rN1w7IRgicRF84kzPr0klbVo9
x5mYlNuKTpiAQitZ0xyeuqTfpAHBorTGMvelFU8Hn5bKhNDp22sNX9Er9PagatzMo6mFHUhodQDK
q5Y2Cuqo3KzPlarG7ljnnys958OYJWB6LVHpwcSb1Zk3Rmbvyi7RfKj3ACTTIHWDWXRoX3qvlBGg
qpEBkzKujtB+UPLQvrCseO4sHbCEmhNPm8/nXtFOIo2/mBo3QclWt0EF/EXEESmOyXBrFuojNP+9
xAlsS322JmWoQmc0nhD+T+6gUwFgrVeeUxW9r9ZB7yK7qddJPx1LdMuuqcWXNK0fBrMnKicS96Fp
8LwDMyskwo4gKgcZbw2SavhYTfJAI114TrxEoBnSeJzh5hwig57yv+HW78MtjsmfnP1UjvfmH859
fuqvc5/DnZ3tgl3+drbTnX137jtMm3AqLwQddZk7/XnuE5+tLItdFPp/wGn/Ovft31gvQLMlOktZ
Oop/NdxihvXx3MeaDySKURrCbNrID93joKKjqCVnunBqtWv838Wq1eU2xe1FHBbJzokwWOoZEoOj
oKhO49jfEfm8MewUKlaDuDeOZOMoCrRABJuCTWv1Pdtq2csmrV2rSodpCITMVgx1daPqEMNAogGU
mEJjw/jm2ZkBY0qG/LmoEREp0XyTx8DfgpHkBQloiauFYJ7tbPCKclh0QFbqxeWI0ttmoN0j3PaK
XL1JNSnbDTmAzhz+rNxExlayhHCRmrQ7hV0wBdosDC+u0ltdsd/HtL4jDuZY5YT7NLIp7RIEPvvQ
yZhYdE51kXvmV6p663BjdwNGIbRNIwI90oxEkfnB6JxknbdGUzNXhMONnM6PeV89OEl9iKP2FTLo
JqlyXuw8qh5ZYEfdWLbnzJPmyv4yO9DCpimtPVsdDpNVlh7s2dqTejxFkSnWDiFNKetqFqYlQ+uW
JU59KtTqOYk5ESytCrw4ypvVaEyf5lg9E9vN/0BuE0dhRkqzVtvXVrOlaSP1y/Uy4vcFLGC9GrCr
rZAyUZUgs8QaYvlGRZXTL7fwZn6fbZbghjUcCmE0ntVYNitOimTRt5Wn5/CLGhs+hxNSjUdVf6r6
7NRLJErXerUahEpy0vQeADUB1th5ahAuUYtfeyssfSsl76LTZ/wmcped7Ey9Bs1kuhZQpm2VVIhH
5ze7bgNXQWfL8qikpdFbAivMcjcg+EmS8qaXc+J1TZYwdsb6oF4bWU7Z14pNr5hE7oZPpI84bpe3
h7DpMpokFEE28h/XbhHzw9fqfGua5a2VFdyNctzp5UJriGvnkZjWa5qHNYlM5iEYbVhJNXQJksPf
WHqBcx/KN0sgBmuFFPutFMzboGPqNXYpZKFQp9dUewJHlLlCkBnCT+nCOyuweKawU2zVPD91LCC8
vlgOcTFLjH0tFIy6fuDWe2Mq0UuBddQtRG6vwPofc1PdmrZNbQ+diyjall2Qig43otsN2R1D/uoY
WhLwBIjiUgpphz4LOPmYfuYW+pTk2qdqAiSpo+wF+PJOkSIXjlEMSU/nYTTkVWJjvUGlMBydqb1q
lfYlWaK62yraakgOxsQ5C7W4i4ssYXwwv2Q1I+yWE4whWJKsq0Wh1gWwE8sa4G6UucyS3pMZKOWk
Bpu5ZxcOl9YkY3IZ7ITxXRmFI1/qOFtJVfpUjOWT0kQA4wf9rZGT18Jk2qh0MGiqMqjcuNROfWk/
Jo10AMS3h88vY/4xVmZU7YPSIBet7HHuKKA4HOmF/FC0G+WxbPLMHa0WK15oPXfz/2PvvHobSdY0
/Vcac59CenOxAwyNKMrbklQ3CUqi0nufv36fkOmqkliF7qGA5QKH5+IAzVIkGQzzmdcQKkSe5hy0
ueXMqsRJDjooT2ghOfqZGmW4DhTgKp/+cy2+XIuCfPj7a/F67a829XzEX/10LdIpVw2a7NxhL45I
f1+LgoNAW16w0rCjpJX+fi1CNCB9JkUlTSXzRTLxRzrs7AFaQakfqJTovwOg+hfpsKEImu0vRRVh
UKmIZyGeBUWMxPvndDiNKbXEfIyz1vGjahZq2o1nyNj0pdJhE3uofevj1BCgRbdtln03KBOqSeZc
aZ3D2ojMaQ6bYN8LERGUsmLRhCzHVAli5JqSedjkj57as2TBC/XuwjSzRpppUvOtIoe5HDBrXJil
6UKZGUzuJQvCFBq0OQpXJ1zkzcTwVDQ0LOWhdqtn2W3qg7xL2dehAj8rq6I5KNTLQekvQD6aFwXO
u1iWd/YMyBMcVQBTk9gRxLcGWsTgcFgiyzK3+2g/9BrpQAktdx7CDJrYTfCkpGrPndfioVQTw1Kj
o3js5aM7qTUkiyI3Vc5cNYSm26T8N99JDyxULSc5jx+DGE85TMR5SlACmHdQxNUENlPrTmLLPQsz
/7BP1YO65E6ja7uqEYg7Mj02fla3BkjK8DIzKlEXOGolmWKuqSGIlbDLRxH1lk0JUpqGRemb7hwT
uJt8rK6csiSDkO2lUYznZRcNMyr4t1phPWZldlpQTZuUin+o2MY5BuvXXovmZ0cY0OKWWeb6Um6c
ExJ8uGyVZGLDqFsLpPPuwi4+xHHyvg9rzJgc6bn3bITyamc/iNvvRuqs89QqlopO6yZMa5tbi2lp
Y6oOmu/5x0GA72aEniZG6Nm5PYTfItlKJl1CcTlOjX4O6IJchQLyZKyqW7Ot7slGp5muZvMIJVKq
0oE/hRnzLdOwE01klPF72/RmldxfZ/z08QsAPWixYsbhHYVzVN+nnt6c5wKxLgvsOgHbo57Xd7Tr
nxIv1fddTXnKBd4dRy5hS6pSJwELj+tLu28KfDwCoB6PV/tFI6PJJ78A6QOBqc91bSkJlL0HXGWq
2RkbAQj+ABRfB5KvCWy+g9foXAmraNaY1TNtd5NPOyRT9n4+zQW+Pxgt/FVdpNuhzYCvZo+4fRZT
k4UZ4CrFlMqPNukgDXgtfRjf7s806AQqtAJq92dmZC8liuWNusR00e1OHMZEMvoqF8wEE4pClJi3
lpOcwR3hStDCYeZCZ4jQ/EIheF2l9R0qfUi/99ybWZg788pyymnmYHdQh1ARo/xEVZtFJSU3FQSK
qPCOaxorBwrUigDTKBWqhd506JwJ9kXZ92dJrJLMy/G9D1PDMMH+mXJnLcPCOlad5DSA1RELeoct
iB5ZFOG4Ksgfng8NBC5IsGxghqgwRBSYIrGgjNhkvRMTFoluGbdNWZ2pgl7ig6SZ9YJyglQbssqC
hsJ1hzNPUy88SiKEvCO9E9BDnene4sSa0oWATjXCbBkFxYUWGQo7BEk5DBh3LNeFoMRQ9QbI56gH
AElGEmqIMw7TOm3h0qhwauqOTpsmaDY0jnVE60rzIIKDg07SkQ4nJ/B9LAAETSeGryPD2xlN7dqF
PYPYMZSeApE3DBWUS2z5gOHBFPC09EIVRCA6IM+m0yyotAzwamwXEa32ooQ95MIiav3qRH6hFWGy
EAiikWslFzHMo94KpEMfLlIgSEly3R+asJRaL4aYQ0g6DQviejPtonksaE2j7J9gvgV1k2hsJpXx
sze610VORjEowkNbEKR6P3wqc9oVGShXWZCowBMRypsQqzpPGg9quFaWQIOPxXgxCBqWJAhZkeNd
9Qj8N4KpBWMLme4W5FF5COObMFrxvWkhCF4ard1pbOJ3gJHCXQILrPbkFfFmAPYGgpgNU4xg6EaF
OTZauBYA5Zzrrb5fwi3D6PcogGsWVi6S2SwioIyUOg0YaYOlPI4w1AyPM7unhIjH8bxQyjUtiZMa
ThvCl3NLkNyqoZnqsN4yLOQwaUPYkjIOBNEDC36c7NX7essiwJOMkzvHOgP6AeiBGEsx6xpXjZNR
N9ZRzUEZaGY2h/KMbxs5Tg03j7JLiVK1c1Y6gOdV+Hsx65aQncKuJXDnrYqwHt3e0qCxbFojXn2D
t+LuLOdZ4DeIrQ3ZXAZncWbbkr0A5aouyqq8CyLlykjxjgfrdaNY9X2I6O2k5FyYVCQNEzxDURXr
FZh39oOGVNqidErar9lDGeIdmNrZUwVvFQcsqKqpr1FLjEJj5lLV5s4DpMB7XY7yuEPvsEZTUqOY
ioNs8+QKCJRsFU+an56FoVNNXcml4YpZu5LTLdW9wd93MuqjHlgsNMhxBWaXFVPXNtAaktlleQAJ
D7p91ngHgwG8y+KcxB4e/mF6NWSjvwik8HtkoR1N3Kzh4LhwXVzMQkQ46KNfKUauTIuWrvUoWcu8
9rmKUx2GPqHRFGr6AHlKqc5wkp55Q/KM1FpGubU761GUJmj3jmUtoDNU58+2lEJd0Z37TthJSwUS
plCgV5GPenqOZr2M+dZFaacnnOaV457oYCD8gCoSWsjwJ7DlcorTLI4z+uplIHsepbGCGrisOIX/
KkTzn9aSQQD7hzi6DNKgHj7Xl8Sf/R1IA1elHKTAANBVh1Twp/qStgdu6kfd6a24pOO5ahIsg5tS
wVZhyPpzFM1/l2WaQA76EOCd/k0UTRz3KYrmyAeBpTr8Hx/lg4YKLLXeLIoqOU8V/AxOKrXhRBqa
gAISfiSd6kC4Ankq9uwjwPHvo9gBNPKvdLEnNOthaDt/nrNZSjfZL8TuwRc1xqjZOpXFzqI4S0id
I9zuin1HlxonRLEX/dw7lcTuxGO6xvAvO6uG+kkSO9hwuidd7GkfdGAjdnlmB0e92PeaE55IHASl
nBmzTJwNfo37YC3OC2sosYMGRUTM+dDCB0CReljIHDISh43f1coE0NaBZdWn6RhBjBPHklF09x1R
aVwP8TTk5NKM+s4D2LZwxKGmiOPNg1gyh8ZKy0EcfohlrixxHFbiYLQ5IYNAPcsEZwcOFSr7sHh8
6Dy9Kh8msrHW62ShQfep9OBIF/yfklJdDyEIDX3+tXOQyOVdA6Yz66FPpoJCBJXICQFRZjMZdhFk
rsdSrc7KMbg1YB9FoI9n4PEgJBnmucSHhe3UHSR+IEFIleC9So23P0TBVRVop9huno4vVCc5UCmE
Q38yCjtZhujCTgxBjupk/VwyOpQCROZgSGhiQG08Cn3o3KGgVxVefOIXjTy3YV6ZFbyODsSUAyfL
zuAaysRuOZLRMAYLe1nmqbqAKEYrDVJXKUAN+RDbi8jyy1koyF9m6/ZzQxDCMK+C/DWoBxinfnPh
jMVBc27KDS5daTfFIqlYlLBme/xNJh6MMxV476QXJDS9G6lIwEtLJGpgpSq5CzaaO+2y9kiGxeYL
OhsB40MolZeYfJ8Dl1t6IUAVUw0xVsxuklo/cBR8M6LRvKnDAoyg9w2ZizWZrwQKis6oIYh1raDY
2XDt0rCAAapS1LDyWywNqPRU3Y3EWT3lT5H+EKQ9rYW9JyGQrKlmjnFm9pwQl1IPzU/AAJxFOvYU
9dCDloYW2NAbnfeCKWghPs5eKW1UPQJ1irnpQVfjmhBpZb+q3TycocbhotwCA1GLwtsGdes4uNFq
BZM9wVVkr2FvAnvRrq16kVaAlY0OekivqO5Uy+SjAUlePcWkMwkDbTZCiUQfBE3/tKCHB10ySCkN
D4JBGbxwKSFVEuWvoh7OB2vtStcOpYH7ClNNCUJmZlVzTTA0iSTntp5hDWE9y4LGmVv6cznK9w78
TjwAT/NhuFIF8ROLJH9uDihGDklx6TfVKtbHZBIMSzsbcY10QHIogkjaKxD+Kp0q5vCsVuV3T2qO
uqy+QP7xpG7DaB+LkNkIO1VzEKVTBGEVJxN1EjaRaJ9BZy3r+jmXErLovhOCOdYqKMrvwFEpjGWI
CaiCGNt3tnlYN4K/akj2NIY/y6lb0P0jDGrh1tboLaAAjtY0B/JRJQi4XtVgMzq2h7Ug56qwdE2/
XwF1AmUnCLx1UcWUGenwVDpqjwm2UuAv6Sz3V7VRgOwRXKUeWZACGfI5Tr8lmy5jS9jmSVwCD816
l0tbE3K2LipRknflurgp5M6V4+oHWj/YBMkOVeohvnRzRE88pdj3aju+K7sqQGO5PZaAKggtaza2
Ed5aJnmM2XbRPseqjrur/9Cn0JkaPdhvu/SQA/1y0DPI6HICVEdtLiCUqQDpjVmL1sTCBxc2bStN
nxgmlB87PcQ0WJ9GRXxc+e1FYOjA4kkQXMTT0WEu6QR7MX/btleGGdoHY9o8VFkISTYv3QnNDH9q
hgV2xqP07OjE7bVfBgsoVhfpkD2YGnu7iC2bOrZNJNMTtkDfSnGsdKgtZMWdYieCtgszNxl6E+8d
hEl8JNZnGWe2kacyNixyvR8LJ1kHFFHOQgInsD/A05go/OSUFKlGdxoq8XWPxxkEPua0Dcwl+QFF
cx0ZHZ+ITcsM0A16e+MP0UXHnTitQ7gDgQEdFYl/DyeRgeVmW2TOoaCoCuJcLo3dLILANEhY2ZFa
d1NP7pBPiMwbo0YyIh2ejMw4D7183SsMh1ngncgtJx38ronZpMe4ahanEJVPuP8RtbbSA1lRlnWc
l1N9UBvMTCHy4f0VL6uxuNFUNn6carfSoJ/VQf3UFfG+44Y3XPbyUWCiRsD9v6ww5AQgcu2M0YEm
UXS1/LYXDXJqFnAHXWRxhME5IA+wkaB/25lqWY9Bn0mzpMxIhwQXasjsS8VNirkhhMdTPIfmeY4V
TRs37lIuh5WJJhy/Z6vugwW+7lMSXduVDgPPW5XYAHhgPHEsyxdZAZwrtfLzLGopyzmyN8eI5jEP
4dc1dXCvy5S2wsI8p8XzLdNNOHFxfzB62nMoU63QWvBeqorwv92jem9adHtrk46YnA0sv5CCuxIM
SCOPyr1ZtaeODvwY5z5q6hKntj/QCsEOuCMUD1dyqp5EpFrTOnBDIvf8KBD8Mb0uF8Oo40KhiQq2
HB2EXo0Cpo3Lk1yTgBaqm04zwTxDduXJ91CbL2yv3G8VTZ5mSdvOMnmgdgAbfZDMWxCgysTzXGOa
FNK1X3Y3FFNIdgJnmnXxcVMphPcNbQSPMj14Gv+qNq0Cl+Z62XhNNU1k5wYZgHMv7pypVtWUoXKp
ASPAftLApPeeFM/UKF1KRE5syFAGvFg95F5y3qPT7TFbXCF42FHooGIUrDvEnaTcfDZlMOYIEc2s
RKhBOdGzJXScEBp7bIfyyOEmnwyW8Vi11qKwm3KWesqhm2rpzBlbfdqb0a2XJNUUNyF1atP0DqUE
mPqDbJPLODgH27qUTZQmPMwNEByYo4SnapCBKix5z47uPckAndqF1wrJzCRvpEsrccyJmmRL3elu
e2Iuyk8j8lh5ls6LGhedwQDVnEQFX0dHs8zusJoH2nxko6Bk24PAkRd02LruGeoWdTXA+nNkVPbl
trnLW7auXyoXsZcKLIJ2opkB5TgjLCeYdFyhVoB4MJ1dwsuec7pMT3q9TPdLU6ceWT+C9gVpH9S3
RU8rBbOimzHGcWOIr1UdiZoOL6bMkh9Qy2Xxg0GE0G11syxujvOq3E9lxMgB64CLwL+LVRuuHWJj
vzURnOrT9ZiUh6NDtdMDTKSq6V0QIt4GNTJv0QCriPKsiKPPL1iZvtNZmMEHfMjGWsh9+Wz6hHRW
1t9rCTFfi1V6AFkAdNESKf2ZH6Ur144ewro50/XiMAmwb/CAJ7st4gqUdQ9w+brsfWXeG5B83CK7
ojxwkOsOTH/aL3J4jrnCFIE1hAA0rKjdeB6U7TFemMsmyKexIbfqYRUqw7TwLDW6iNPRvBuywET9
WAKJehEbNdbSg22iqZVL/3HnfSVTGrQ2/pCDNvGqXG9IQfmr9xRUsfZwlKYUA+eGvFF0Zd57OZgX
GtgPIo7uOKb8Imf4DnEw9wiIRLIp+DWvUlPv0EZjT/Au4QPh9YuCu678myz0M8SBB0Obl/kMADHI
Rj9AHACzyQU8tOZ0jDMKYvivw9BFkDeCUCy38WwoY6HQE0yHzD0JaG7PDKWrpmXanmMCuLSQSiSG
wwDawQGkkoIj1BxOBgsOJPSKK1mOnlqCxKmUtVwrEj6ZbqeeZCOhrCub3jSphMaifEt97rta6XdO
4QHW8x1q7wJi7kjjfqxL0rzofH+illTFPKmcBHn4zbDT7/mQ3bQ+qVVW0353TfNbWdTLFJHG2pFu
3XQ48rHaxk/0pI384zoLvleZTdjrWOelZjzGoOjnCV8M8b7AXOBhjoJtdp8MWEFhhI4iVk3KWMQd
xufdzaDibODV3b6uYzqqhhpmCR0F+Uiynwq/NWYIWx9XdXzdkeJObc+YG5F9mQXOE43U88DoB8zf
SEFkL6znbge3PW8hX6aPNMnv3UI9Ax3/SDkD5lJUevMm7agYWsm5lzsHYCbw4fK+xyrWb3lsYyZj
QlTp8uyxUxyEOIZ6lgw4yubAvPDpSmi7FJTn0EU4ritombqLjwVkQaqixBLdvlx2wDmcA081Loex
fQ70cG0l5bUWeIgqjXeJNyYzmiKntFCmjlwa9IBgsagyyZraF+YFDZgT3+mfQftlM9Cji0x25WlT
QpZKZPVW94xLvR5c/HOia91TnxvVbKFyiD83iON1rblLYEJUGTh4sL3EHk0wo1kX0vCL73E4jqhV
NMj4GTKoBDAChVIbExmKpzlG+7KFLRJ89EVR+wDrIxzzmpxfLalVPOEMkyIIVfxitPfNoMJjuCK0
IHo6FEZZsxJY2wQu06WFE1GXgoHkKgOh7opEl04cBXKQ62OFUUvDijMg2E/tkUU8VPyGiZp7864c
rzKv5KmpzY3b7rtyczXa2mHQIRlmqXT2qsIFbB+HwAyb6BGWy51NQQs0R/4gK1k5STN3WnbAZzo5
OIAFhX6n5B/IqRTOJAsLXVnOcOSRF4ocNNNKlpwDMLLDRGvtdRIWx2Su7SSvwnxOKWNpesMwUxuk
Q7lUbrLCwMa4RNymprVFEvJQ0cycyqUCuWTMx3MqT+qRnka0BiB1e8tYdXxtFkXdrWpjgTcvpcoP
vjENbn2m1hZOwWZgaPumm8jptUV+k830Oh+5YMtY+CTZiXVOUSqAtFoE/rlW9N49PmvzKmYJTXRf
d0/zClZTTU3f7qAEAvHzLToBfiGTjjhGfyHH0qHrFYE27y04sQT3MVwG26yKZWPJLqlD0NewvmQt
TsDQaFOliy+yzOyLBXAe9S7qaMCdxNhzcs7EPvqhpvUoe00T0h8dSkSSkdB0Rgr4ulHMqRpZ3rVc
W3F1r7qtxw2tjeBZScRM93tkBL5+IqvQpegF903+H0Tg23X5R+2B++ZhteGy/FV5AIyCzsblelNA
/f24LFEMhhog46UH45W7jyv2/bJ0eMfRDa5L9Z098H5Z2nsOvA/F4S2Q+/8S+KDJG/CASBuY4mrG
6UVRPigPxHVZy33Wy2c12DwahsbCBFp3pOLsSaqn5NDnAfPBqwIWFOFKmiFkiw2PflhmBtpzAgYY
6I5xXApooP4CEuzMRQtqMLb7/KQcJZDANPJr+1FpI4o/SQfXv3Fno9ktHdfeD6xcnuFYvWgqehap
I5rFnX7TpeWBHvjpdeF5zdTL80cTe6kMwF2p6AKXhrKb6RWP8eBEs6wiUyy67qDP+55aQOanF7JG
vTXUqUVqQLtQypvXnexOk07CsEUR1nRxASG9XlmN9+gmdrevDiibekNeLJGMSyZFJl3WsR2fOyjG
gpgAVIs9HGy3wbJmbkDVgp4geivuQGNaB1/naE9VYF74BiD7OiAC96O7QNWu68zJZ1KorvOIpr87
ejclp1qA8ECD9N0kGZUDSFFPBBYpdmI+nppoO8qolpjqfZJ6R+HoXCso+U6MUZSjVfk6t0IVzIB+
WPtA7mKX3FGtjdXQVLgbW9UdejPw+7DPQnUKnTxdPqcPp2DOG1wEDjmylGAHeDgMMnYiaf4slznE
MwGoD47aIfOWWlhdNib01J4gfDKWJGSWCdILgMHEyuOZRblMeM43KD+Cz6F4W8dVhExwmcyDtLLP
HDUfFnFqq5PWDJcY3juI7pdrtQDR6YyWdyGJ4toYGI8OEgKnxaA+x/D6aS2ZCBr4oeqcxj6yB2h0
AQ2NsPmrDWwvUg7DQy/KzgBCcvjH9llHiX5qmg51voHiaAQ4u1KIeUr1FMEVjNWBiE/qQKdY02TQ
zgxsynoSTXL+72buf4uiqEH7GyCC6qczzkvmzWNy4xQoB4zfb1YA99rNHhIUe0F7g3VNpQvFzp91
H4acD0qi6O1pGpnlVK5LbWnGxTI3k8O+NnBb084GJTojMuinTkwaKmfhrdy5N0YiVQe01DAzlqyb
svZwZFXUYzdXcXO0qdTSMA4njSxfJkN9KHfBoojCyyDw5mYT33dy+YCSR4bhPBKoAzUJu4yaWWl2
IBrklFIPk2vo0iFYFLTjZXopjTNE5NrWMcLNj7Y6arOqHm5zTUXkScH6puLmy+oRQ1TMRyN3lKE1
yKdd3D34AnRqCvhpagYFIXB+p4ELdkComiBVQwFZxdThsZa7fasU9VwBa0WoIUOKosHNFMjrIMCv
6WA81aBhuwIV1wR8bOGS4wcCMhupKt6Q1XcbLC007RsFbK2Csy6fj5YqqFsH9G0pYLh84Jk3th22
j9GJLaC6zShfVo72fRAgXkSV4mkggL1SNEjLTIB9UwppLehfHakmHzSwLWDBeUJFEIYyYGFXwIZH
ASBOLH2OoXYD/AtwcQLKOJQpY9vgs4nVKiQ/MsDIGL2gPScAyipIZeiQ9JYFeNkFcQsyGIaPKkP6
N+RHFGrfDFT+P2iNvn3E2apezVNKf8NFsy6Hy3VFbFS9Y+/Eu+cZBfPr7H/3j/480F/rlydfD/n6
//zX6gkZ+FlQ1WXwWIv09OW95dP/+a831SB0G35JdF8+2Mun/uM48Ypv1zzxBPCHiEqAWNRIW8WL
p8QZqlivb0uKipIFmTDZ7GuU8NMc/W4W/vwFX6fzz//m9x/+5zlAyucjl+GffH++4N9fX8OcAMAm
GnTO69cn0f/l65Pt02nB749u5cvrZcL/H0/CppXwEb76T2ZC/NY/pkLfgy9BjMZcvH/VT1PhcBBQ
Tn9/n7W3e1MhxLe32xSas+eAJ8Di+G0qgNL+MhWqvAfNheqLsJjYyUkQFaEtJwHJGUpLDophrz83
Yf2vk6AKui76Ngrv7OAk4Djyvzkeft0U1h7MYRu8tPY6CZ9WgrqnQnO2BI15B+eAQuTH5O5fHwyA
ayy0iCxVrAbx+jQH+p4KqoI52NlJ2P5IsPeQMSV7NMSy4vVxN3BRIHCHxY1wVdrJlaC//jqvtmJ/
RzH/JljQzD0ICdSdlbcb4OMkECyADgJl5exEsMAX/hgxCTzX1ueiECnge/JD/3ogyiwBVXVwx3sJ
Jl4ftXsXpLx11KjZe3A8VYWW9mvYxEx/nArKQY5K2rCju0HmFNt6IVjAE4kSXk8Ecdt8nASuTipY
hrnb62H7g4GeGHxgHbnl17n4dDAoe+jZUXtTd3ZTvB7b25yODtcgS5474jebQshe20TP+s5Gja+R
3DaTQA+U/qYBOfFtV3zYFOKetGEF2MI4czfvye2vCGtP447gIniLmDZshxdVGmNnV4K2/ZmAtDCM
RjIEetXi9SlsREbAEf/j3BCvnT0Zts8iOB6RIlAcUUP59Yogh6LFYGlvkIXdCxaMrXcDJSakSy0Q
fm9R46eFoJJNMz2cnDt6JChb5w9iEmiO6frnJaDvKXTNcFN5Oyx2dQ62XgiaCqEZWzUAMK8XJHHo
L7tBMfYMrg6oy7sdMCnbnwjgi4Q8sEFr9OX16YZQEWZXRDXu9UrevYNB2f6GwP5VVjkZrbeo8WMA
rYg0wzFhAO3qJKjbl9nMPST04PfDsXh5fdwUooVumJTod7bEpGyfTxp7GgoHpA+vG1/EAr+eDM5L
MRJwwWvatnvbQUAEt8wnNTCHMtrgb3PweRIIKwVcAlecXb0jtk+izD1+YyqqOs2dl9fnlWDyHonk
zq6E7bcDB6MB8BTGweZJ4EzQZVUmntjV8spbdrdNJsmWJ1KwgNi+HoyfakyEjYqhIKG/s5Pw+sG2
mAQhD0PJGcWW1zkQpbtfDkY6UaZwDCBS2NEzQd8+WHJoNKFLxp5/3Q6fgiWuSLaLru9s2fmTo8S/
7sJQcn2Txf1dnEB0jdKuDmBuR1fCG4Jgi+3AJKgIA6M9+JsMggYEaRSBhP0ane5enPB2bW0zCfoe
fvMYNr1fkR+3A2GzqosClHBv4rWrWbWQwdoyZKKwArqU1Pm1hLTpeORNUA32a012V6firYW+zaqg
NyekESi0vF4VH0NobgrZpBoHkGVHz4dPEmz/+pDkuqR2YLI9flN9FucDCBY6Ea8X6q6uB3XrghPI
Jn5rVgPW8i+vj+uBQjwyrZaNFdt7oL2T5fi3jtE2W4P4QVQYkAfZPBWqRucGWjcw9R3dGm9p73aT
oMLdROPv7Xz4FEkqpNi0pnY3iHqDl2wzCWTQsomkjPm7xgzxNpIF3Jy73ZMQhl3bXZ2genTnhUD4
VpX/1JoAGYqjr+68lXd2L5RSt48fiJRA7Py9HD71qDgkUUrBQVgYY+7m8fhaGt1mU2iU5UEpYOC8
Ob2CDIuNB5ienY0kte1XAl0YevPQjt6qDR+PRyZBJbHANW9XF8L2eba9x0oXS+ENDP1xDig7Uaun
e4N7y8trR6fiDZW7zZ54SaYtg3bVh4IL60ABLs9CeavN7eocbF17IoJEshROH+ff+8/9a+0JnTZV
VgxbOO/s5OFobN+eAfeJnYAoKXxYCGwG3rCgE+5qEvEGLtliGwjor8YPDEPzt0vABBVrkFnu6BLQ
XkP6LSaBfeDQqdWFncTLa8OxqDp0LBxnt4sMCIhvGTRqBuU1pMeoN/8mk6IcTfsKnN+uHglvZ9V2
64HMGi7x+w3ACvt4LhI0knKi8rGb5+Jb22ibSRCRM5GCaFy/vD6WFwQUXHcou+1si8rY/oYUhQUF
vAr5wcvrU4sK2CvtKZvu/Y6uBKFful0iqcH+oMKqyb/jCYkcyiFoNIUB306GCZ/sEP914ZE7Aols
YHzm75qVhM74P0Cm2tVJ+CSa9O8ngd69JovK6u/JlBi3osRr7Ox2eP1g2xyMQjmKTJFw4DcHo3DN
VBUF8eB/vh3+QfHlb4Ly1A/ipxdqMlL/mxjMv/sH75zcz+//RKN5Id3+8i8FVfn14T+oy//9K3P5
hSX607vvrNGXJ739/dtX/PzwXx72/r3e/+NBsC5X5SNCBC/U6LcPerpK4Db/T8z/Pa0+koBEleP9
v22mWf99IP55dLSZ1+8D/eBkC/mRH1/1M4f7nw2erJ6y8n2gnwbnmt168InweHsf56exub22Hnu6
ilctP0n1PtZP47Petx8f3b/q009K3M099gWDp3W5+muaVfWmR5ABbv2I2Tr+6zQrN84/8cjW48/j
v2ZZyeJ5H+un+SdO3Xr8/RL7kE2Dc61tPfgiXqfp+zg/ffCv2K4HTfKQxU/15+EFuHvrj75M8nUZ
rOL3oX58euUrtuwSKd8NQ3/Fjj1alxvmXBT9t56UoyD1NhwEylfs1eNVtOEME7CzrT/28aqq1pvm
5Cs26HFW/fU/qbeO15tm5iu26MnqiQP4fR5+WohfsUVPVjg4bBj7K7aoGDvPNp3uoh2+9c96sk6f
ssdg0+klesxfMH75uH56H+jHvIu25faDZ3z293F+GvsrtulJtnFOvmKXMjR2suthwyf/ip16uso3
LHSBM9t6wk/X7epz7Ghg3/cFg5+VK46A94F++jm/Youex6vH9YbYUZTktp6W87hJNgV3QnRl68Ev
A0LHKnjaMDMCXr/1+Ferx5KUIK033KWC8PgFD0j/mqwRBN30gK/Yqlcr8YAyXZVPGw8y0Qj9km8x
C9bepi/xFbtWfIl9dsBjUD1uesZXbF/xjMNsVTSbbivRE/iSWTpuguqvs4egyjd9j6/YzOJ7nKzq
9abxv2I/M369+muyKh9Wm2IG/Su29eszpqhubzisRY38K34LvgUihuP7YD/OVCF7sv0D/NXGnFD/
kk1NDWPj1HzJZg6qCLel5n0SfpqYL9nLWbzaFD2Iqv/2s05gssl1V6Dptx+8XqVBFa+a6n2wn6bm
S7auKLNsuIcFIWLrT/9HQ+I/KAj+o+rT9R9d2rYe/U/6+9sPToEo2VSXEzXnraf9GyM0m/aq6KNs
Pfp9Fm845wWIYfuhf6/i/Ocp31SW/Vv173Ox9l3dcdOf/VqLFv/iMV6vyv/+vwAAAP//</cx:binary>
              </cx:geoCache>
            </cx:geography>
          </cx:layoutPr>
          <cx:valueColors>
            <cx:minColor>
              <a:schemeClr val="accent1">
                <a:lumMod val="60000"/>
                <a:lumOff val="40000"/>
              </a:schemeClr>
            </cx:minColor>
            <cx:maxColor>
              <a:srgbClr val="92D050"/>
            </cx:maxColor>
          </cx:valueColors>
        </cx:series>
      </cx:plotAreaRegion>
    </cx:plotArea>
  </cx:chart>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2.emf"/><Relationship Id="rId7"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6.xml"/><Relationship Id="rId4" Type="http://schemas.openxmlformats.org/officeDocument/2006/relationships/chart" Target="../charts/chart2.xml"/><Relationship Id="rId9" Type="http://schemas.openxmlformats.org/officeDocument/2006/relationships/chart" Target="../charts/chart5.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46181</xdr:colOff>
      <xdr:row>45</xdr:row>
      <xdr:rowOff>145738</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0" y="0"/>
          <a:ext cx="18523640" cy="8577705"/>
        </a:xfrm>
        <a:prstGeom prst="rect">
          <a:avLst/>
        </a:prstGeom>
        <a:solidFill>
          <a:schemeClr val="tx2">
            <a:lumMod val="40000"/>
            <a:lumOff val="6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2009588" cy="8030882"/>
        </a:xfrm>
        <a:prstGeom prst="rect">
          <a:avLst/>
        </a:prstGeom>
        <a:solidFill>
          <a:schemeClr val="tx2">
            <a:lumMod val="90000"/>
            <a:lumOff val="1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206339</xdr:colOff>
      <xdr:row>0</xdr:row>
      <xdr:rowOff>37929</xdr:rowOff>
    </xdr:from>
    <xdr:to>
      <xdr:col>2</xdr:col>
      <xdr:colOff>5196</xdr:colOff>
      <xdr:row>2</xdr:row>
      <xdr:rowOff>120650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6339" y="37929"/>
          <a:ext cx="1571661" cy="456250"/>
        </a:xfrm>
        <a:prstGeom prst="rect">
          <a:avLst/>
        </a:prstGeom>
      </xdr:spPr>
    </xdr:pic>
    <xdr:clientData/>
  </xdr:twoCellAnchor>
  <xdr:twoCellAnchor>
    <xdr:from>
      <xdr:col>0</xdr:col>
      <xdr:colOff>87032</xdr:colOff>
      <xdr:row>3</xdr:row>
      <xdr:rowOff>172730</xdr:rowOff>
    </xdr:from>
    <xdr:to>
      <xdr:col>1</xdr:col>
      <xdr:colOff>1449294</xdr:colOff>
      <xdr:row>6</xdr:row>
      <xdr:rowOff>166380</xdr:rowOff>
    </xdr:to>
    <xdr:sp macro="" textlink="Pivots!G4">
      <xdr:nvSpPr>
        <xdr:cNvPr id="5" name="Rectangle 4">
          <a:extLst>
            <a:ext uri="{FF2B5EF4-FFF2-40B4-BE49-F238E27FC236}">
              <a16:creationId xmlns:a16="http://schemas.microsoft.com/office/drawing/2014/main" id="{7C8B0AEE-71DD-7CD9-E1C0-50CC34FA3C88}"/>
            </a:ext>
          </a:extLst>
        </xdr:cNvPr>
        <xdr:cNvSpPr/>
      </xdr:nvSpPr>
      <xdr:spPr>
        <a:xfrm>
          <a:off x="87032" y="733024"/>
          <a:ext cx="1593850" cy="55394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0CD14941-E8D9-4E83-A8DE-68CC23C6D1EA}" type="TxLink">
            <a:rPr lang="en-US" sz="1800" b="1" i="0" u="none" strike="noStrike">
              <a:solidFill>
                <a:schemeClr val="bg2"/>
              </a:solidFill>
              <a:latin typeface="Cambria" panose="02040503050406030204" pitchFamily="18" charset="0"/>
              <a:ea typeface="Cambria" panose="02040503050406030204" pitchFamily="18" charset="0"/>
            </a:rPr>
            <a:pPr algn="l"/>
            <a:t>2,400</a:t>
          </a:fld>
          <a:endParaRPr lang="en-IN" sz="1800" b="1">
            <a:solidFill>
              <a:schemeClr val="bg2"/>
            </a:solidFill>
            <a:latin typeface="Cambria" panose="02040503050406030204" pitchFamily="18" charset="0"/>
            <a:ea typeface="Cambria" panose="02040503050406030204" pitchFamily="18" charset="0"/>
          </a:endParaRPr>
        </a:p>
      </xdr:txBody>
    </xdr:sp>
    <xdr:clientData/>
  </xdr:twoCellAnchor>
  <xdr:twoCellAnchor>
    <xdr:from>
      <xdr:col>0</xdr:col>
      <xdr:colOff>87032</xdr:colOff>
      <xdr:row>7</xdr:row>
      <xdr:rowOff>87472</xdr:rowOff>
    </xdr:from>
    <xdr:to>
      <xdr:col>1</xdr:col>
      <xdr:colOff>1449294</xdr:colOff>
      <xdr:row>10</xdr:row>
      <xdr:rowOff>81122</xdr:rowOff>
    </xdr:to>
    <xdr:sp macro="" textlink="Pivots!H4">
      <xdr:nvSpPr>
        <xdr:cNvPr id="19" name="Rectangle 18">
          <a:extLst>
            <a:ext uri="{FF2B5EF4-FFF2-40B4-BE49-F238E27FC236}">
              <a16:creationId xmlns:a16="http://schemas.microsoft.com/office/drawing/2014/main" id="{371D0DCA-7FBA-4C0F-9BC0-F5CDFE2DC60C}"/>
            </a:ext>
          </a:extLst>
        </xdr:cNvPr>
        <xdr:cNvSpPr/>
      </xdr:nvSpPr>
      <xdr:spPr>
        <a:xfrm>
          <a:off x="87032" y="1394825"/>
          <a:ext cx="1593850" cy="55394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93D3075B-4751-401C-8B86-058769D7DD6B}" type="TxLink">
            <a:rPr lang="en-US" sz="1800" b="1" i="0" u="none" strike="noStrike">
              <a:solidFill>
                <a:schemeClr val="bg2"/>
              </a:solidFill>
              <a:latin typeface="Cambria" panose="02040503050406030204" pitchFamily="18" charset="0"/>
              <a:ea typeface="Cambria" panose="02040503050406030204" pitchFamily="18" charset="0"/>
              <a:cs typeface="+mn-cs"/>
            </a:rPr>
            <a:pPr marL="0" indent="0" algn="l"/>
            <a:t>11,997</a:t>
          </a:fld>
          <a:endParaRPr lang="en-IN" sz="1800" b="1" i="0" u="none" strike="noStrike">
            <a:solidFill>
              <a:schemeClr val="bg2"/>
            </a:solidFill>
            <a:latin typeface="Cambria" panose="02040503050406030204" pitchFamily="18" charset="0"/>
            <a:ea typeface="Cambria" panose="02040503050406030204" pitchFamily="18" charset="0"/>
            <a:cs typeface="+mn-cs"/>
          </a:endParaRPr>
        </a:p>
      </xdr:txBody>
    </xdr:sp>
    <xdr:clientData/>
  </xdr:twoCellAnchor>
  <xdr:twoCellAnchor>
    <xdr:from>
      <xdr:col>0</xdr:col>
      <xdr:colOff>87032</xdr:colOff>
      <xdr:row>10</xdr:row>
      <xdr:rowOff>177318</xdr:rowOff>
    </xdr:from>
    <xdr:to>
      <xdr:col>1</xdr:col>
      <xdr:colOff>1449294</xdr:colOff>
      <xdr:row>13</xdr:row>
      <xdr:rowOff>170968</xdr:rowOff>
    </xdr:to>
    <xdr:sp macro="" textlink="Pivots!I4">
      <xdr:nvSpPr>
        <xdr:cNvPr id="20" name="Rectangle 19">
          <a:extLst>
            <a:ext uri="{FF2B5EF4-FFF2-40B4-BE49-F238E27FC236}">
              <a16:creationId xmlns:a16="http://schemas.microsoft.com/office/drawing/2014/main" id="{9247A7F6-2DB3-445D-B446-AB18AD892DA1}"/>
            </a:ext>
          </a:extLst>
        </xdr:cNvPr>
        <xdr:cNvSpPr/>
      </xdr:nvSpPr>
      <xdr:spPr>
        <a:xfrm>
          <a:off x="87032" y="2044965"/>
          <a:ext cx="1593850" cy="55394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32227C1E-E1AD-47E8-ACD8-D244F4F49138}" type="TxLink">
            <a:rPr lang="en-US" sz="1800" b="1" i="0" u="none" strike="noStrike">
              <a:solidFill>
                <a:schemeClr val="bg2"/>
              </a:solidFill>
              <a:latin typeface="Cambria" panose="02040503050406030204" pitchFamily="18" charset="0"/>
              <a:ea typeface="Cambria" panose="02040503050406030204" pitchFamily="18" charset="0"/>
              <a:cs typeface="+mn-cs"/>
            </a:rPr>
            <a:pPr marL="0" indent="0" algn="l"/>
            <a:t>$649.0K</a:t>
          </a:fld>
          <a:endParaRPr lang="en-IN" sz="1800" b="1" i="0" u="none" strike="noStrike">
            <a:solidFill>
              <a:schemeClr val="bg2"/>
            </a:solidFill>
            <a:latin typeface="Cambria" panose="02040503050406030204" pitchFamily="18" charset="0"/>
            <a:ea typeface="Cambria" panose="02040503050406030204" pitchFamily="18" charset="0"/>
            <a:cs typeface="+mn-cs"/>
          </a:endParaRPr>
        </a:p>
      </xdr:txBody>
    </xdr:sp>
    <xdr:clientData/>
  </xdr:twoCellAnchor>
  <xdr:twoCellAnchor>
    <xdr:from>
      <xdr:col>0</xdr:col>
      <xdr:colOff>87032</xdr:colOff>
      <xdr:row>14</xdr:row>
      <xdr:rowOff>158384</xdr:rowOff>
    </xdr:from>
    <xdr:to>
      <xdr:col>1</xdr:col>
      <xdr:colOff>1449294</xdr:colOff>
      <xdr:row>17</xdr:row>
      <xdr:rowOff>152613</xdr:rowOff>
    </xdr:to>
    <xdr:sp macro="" textlink="Pivots!J4">
      <xdr:nvSpPr>
        <xdr:cNvPr id="21" name="Rectangle 20">
          <a:extLst>
            <a:ext uri="{FF2B5EF4-FFF2-40B4-BE49-F238E27FC236}">
              <a16:creationId xmlns:a16="http://schemas.microsoft.com/office/drawing/2014/main" id="{0B0D7343-4D77-4431-A32C-8831996E664D}"/>
            </a:ext>
          </a:extLst>
        </xdr:cNvPr>
        <xdr:cNvSpPr/>
      </xdr:nvSpPr>
      <xdr:spPr>
        <a:xfrm>
          <a:off x="87032" y="2773090"/>
          <a:ext cx="1593850" cy="55452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5CE64B38-0949-419D-BBC4-EC265A4D3CBA}" type="TxLink">
            <a:rPr lang="en-US" sz="1800" b="1" i="0" u="none" strike="noStrike">
              <a:solidFill>
                <a:schemeClr val="bg2"/>
              </a:solidFill>
              <a:latin typeface="Cambria" panose="02040503050406030204" pitchFamily="18" charset="0"/>
              <a:ea typeface="Cambria" panose="02040503050406030204" pitchFamily="18" charset="0"/>
              <a:cs typeface="+mn-cs"/>
            </a:rPr>
            <a:pPr marL="0" indent="0" algn="l"/>
            <a:t>4.0</a:t>
          </a:fld>
          <a:endParaRPr lang="en-IN" sz="1800" b="1" i="0" u="none" strike="noStrike">
            <a:solidFill>
              <a:schemeClr val="bg2"/>
            </a:solidFill>
            <a:latin typeface="Cambria" panose="02040503050406030204" pitchFamily="18" charset="0"/>
            <a:ea typeface="Cambria" panose="02040503050406030204" pitchFamily="18" charset="0"/>
            <a:cs typeface="+mn-cs"/>
          </a:endParaRPr>
        </a:p>
      </xdr:txBody>
    </xdr:sp>
    <xdr:clientData/>
  </xdr:twoCellAnchor>
  <xdr:twoCellAnchor>
    <xdr:from>
      <xdr:col>0</xdr:col>
      <xdr:colOff>87032</xdr:colOff>
      <xdr:row>18</xdr:row>
      <xdr:rowOff>56608</xdr:rowOff>
    </xdr:from>
    <xdr:to>
      <xdr:col>1</xdr:col>
      <xdr:colOff>1449294</xdr:colOff>
      <xdr:row>21</xdr:row>
      <xdr:rowOff>50258</xdr:rowOff>
    </xdr:to>
    <xdr:sp macro="" textlink="Pivots!K4">
      <xdr:nvSpPr>
        <xdr:cNvPr id="22" name="Rectangle 21">
          <a:extLst>
            <a:ext uri="{FF2B5EF4-FFF2-40B4-BE49-F238E27FC236}">
              <a16:creationId xmlns:a16="http://schemas.microsoft.com/office/drawing/2014/main" id="{416CF625-958D-4859-8CFF-CA58F6A55FF3}"/>
            </a:ext>
          </a:extLst>
        </xdr:cNvPr>
        <xdr:cNvSpPr/>
      </xdr:nvSpPr>
      <xdr:spPr>
        <a:xfrm>
          <a:off x="87032" y="3418373"/>
          <a:ext cx="1593850" cy="55394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E7C07DEE-F92A-4F50-8A21-B7AC374B3666}" type="TxLink">
            <a:rPr lang="en-US" sz="1800" b="1" i="0" u="none" strike="noStrike">
              <a:solidFill>
                <a:schemeClr val="bg2"/>
              </a:solidFill>
              <a:latin typeface="Cambria" panose="02040503050406030204" pitchFamily="18" charset="0"/>
              <a:ea typeface="Cambria" panose="02040503050406030204" pitchFamily="18" charset="0"/>
              <a:cs typeface="+mn-cs"/>
            </a:rPr>
            <a:pPr marL="0" indent="0" algn="l"/>
            <a:t>2.3</a:t>
          </a:fld>
          <a:endParaRPr lang="en-IN" sz="1800" b="1" i="0" u="none" strike="noStrike">
            <a:solidFill>
              <a:schemeClr val="bg2"/>
            </a:solidFill>
            <a:latin typeface="Cambria" panose="02040503050406030204" pitchFamily="18" charset="0"/>
            <a:ea typeface="Cambria" panose="02040503050406030204" pitchFamily="18" charset="0"/>
            <a:cs typeface="+mn-cs"/>
          </a:endParaRPr>
        </a:p>
      </xdr:txBody>
    </xdr:sp>
    <xdr:clientData/>
  </xdr:twoCellAnchor>
  <xdr:twoCellAnchor>
    <xdr:from>
      <xdr:col>0</xdr:col>
      <xdr:colOff>87032</xdr:colOff>
      <xdr:row>2</xdr:row>
      <xdr:rowOff>149413</xdr:rowOff>
    </xdr:from>
    <xdr:to>
      <xdr:col>1</xdr:col>
      <xdr:colOff>714925</xdr:colOff>
      <xdr:row>4</xdr:row>
      <xdr:rowOff>48286</xdr:rowOff>
    </xdr:to>
    <xdr:sp macro="" textlink="">
      <xdr:nvSpPr>
        <xdr:cNvPr id="29" name="TextBox 28">
          <a:extLst>
            <a:ext uri="{FF2B5EF4-FFF2-40B4-BE49-F238E27FC236}">
              <a16:creationId xmlns:a16="http://schemas.microsoft.com/office/drawing/2014/main" id="{9F17BD5B-F56B-B43E-AE45-514E0A3CECF6}"/>
            </a:ext>
          </a:extLst>
        </xdr:cNvPr>
        <xdr:cNvSpPr txBox="1"/>
      </xdr:nvSpPr>
      <xdr:spPr>
        <a:xfrm>
          <a:off x="87032" y="522942"/>
          <a:ext cx="859481" cy="272403"/>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i="0">
              <a:solidFill>
                <a:schemeClr val="bg2"/>
              </a:solidFill>
              <a:latin typeface="Cambria" panose="02040503050406030204" pitchFamily="18" charset="0"/>
              <a:ea typeface="Cambria" panose="02040503050406030204" pitchFamily="18" charset="0"/>
            </a:rPr>
            <a:t>Orders🛒</a:t>
          </a:r>
        </a:p>
      </xdr:txBody>
    </xdr:sp>
    <xdr:clientData/>
  </xdr:twoCellAnchor>
  <xdr:twoCellAnchor>
    <xdr:from>
      <xdr:col>0</xdr:col>
      <xdr:colOff>87032</xdr:colOff>
      <xdr:row>6</xdr:row>
      <xdr:rowOff>104059</xdr:rowOff>
    </xdr:from>
    <xdr:to>
      <xdr:col>1</xdr:col>
      <xdr:colOff>981682</xdr:colOff>
      <xdr:row>7</xdr:row>
      <xdr:rowOff>149793</xdr:rowOff>
    </xdr:to>
    <xdr:sp macro="" textlink="">
      <xdr:nvSpPr>
        <xdr:cNvPr id="34" name="TextBox 33">
          <a:extLst>
            <a:ext uri="{FF2B5EF4-FFF2-40B4-BE49-F238E27FC236}">
              <a16:creationId xmlns:a16="http://schemas.microsoft.com/office/drawing/2014/main" id="{7D1DFDD2-F211-4931-8154-727330D1F5AF}"/>
            </a:ext>
          </a:extLst>
        </xdr:cNvPr>
        <xdr:cNvSpPr txBox="1"/>
      </xdr:nvSpPr>
      <xdr:spPr>
        <a:xfrm>
          <a:off x="87032" y="1224647"/>
          <a:ext cx="1126238" cy="232499"/>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i="0">
              <a:solidFill>
                <a:schemeClr val="bg2"/>
              </a:solidFill>
              <a:latin typeface="Cambria" panose="02040503050406030204" pitchFamily="18" charset="0"/>
              <a:ea typeface="Cambria" panose="02040503050406030204" pitchFamily="18" charset="0"/>
            </a:rPr>
            <a:t>Quantity</a:t>
          </a:r>
          <a:r>
            <a:rPr lang="en-IN" sz="1100" b="1" i="0" baseline="0">
              <a:solidFill>
                <a:schemeClr val="bg2"/>
              </a:solidFill>
              <a:latin typeface="Cambria" panose="02040503050406030204" pitchFamily="18" charset="0"/>
              <a:ea typeface="Cambria" panose="02040503050406030204" pitchFamily="18" charset="0"/>
            </a:rPr>
            <a:t> 👕</a:t>
          </a:r>
          <a:endParaRPr lang="en-IN" sz="1100" b="1" i="0">
            <a:solidFill>
              <a:schemeClr val="bg2"/>
            </a:solidFill>
            <a:latin typeface="Cambria" panose="02040503050406030204" pitchFamily="18" charset="0"/>
            <a:ea typeface="Cambria" panose="02040503050406030204" pitchFamily="18" charset="0"/>
          </a:endParaRPr>
        </a:p>
      </xdr:txBody>
    </xdr:sp>
    <xdr:clientData/>
  </xdr:twoCellAnchor>
  <xdr:twoCellAnchor>
    <xdr:from>
      <xdr:col>0</xdr:col>
      <xdr:colOff>87032</xdr:colOff>
      <xdr:row>10</xdr:row>
      <xdr:rowOff>18801</xdr:rowOff>
    </xdr:from>
    <xdr:to>
      <xdr:col>1</xdr:col>
      <xdr:colOff>780886</xdr:colOff>
      <xdr:row>11</xdr:row>
      <xdr:rowOff>52874</xdr:rowOff>
    </xdr:to>
    <xdr:sp macro="" textlink="">
      <xdr:nvSpPr>
        <xdr:cNvPr id="35" name="TextBox 34">
          <a:extLst>
            <a:ext uri="{FF2B5EF4-FFF2-40B4-BE49-F238E27FC236}">
              <a16:creationId xmlns:a16="http://schemas.microsoft.com/office/drawing/2014/main" id="{88F45C88-0A7F-45BE-91CB-3B5625C6F4BA}"/>
            </a:ext>
          </a:extLst>
        </xdr:cNvPr>
        <xdr:cNvSpPr txBox="1"/>
      </xdr:nvSpPr>
      <xdr:spPr>
        <a:xfrm>
          <a:off x="87032" y="1886448"/>
          <a:ext cx="925442" cy="220838"/>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i="0">
              <a:solidFill>
                <a:schemeClr val="bg2"/>
              </a:solidFill>
              <a:latin typeface="Cambria" panose="02040503050406030204" pitchFamily="18" charset="0"/>
              <a:ea typeface="Cambria" panose="02040503050406030204" pitchFamily="18" charset="0"/>
            </a:rPr>
            <a:t>Amount💰</a:t>
          </a:r>
        </a:p>
      </xdr:txBody>
    </xdr:sp>
    <xdr:clientData/>
  </xdr:twoCellAnchor>
  <xdr:twoCellAnchor>
    <xdr:from>
      <xdr:col>0</xdr:col>
      <xdr:colOff>87032</xdr:colOff>
      <xdr:row>13</xdr:row>
      <xdr:rowOff>108647</xdr:rowOff>
    </xdr:from>
    <xdr:to>
      <xdr:col>1</xdr:col>
      <xdr:colOff>996369</xdr:colOff>
      <xdr:row>15</xdr:row>
      <xdr:rowOff>33940</xdr:rowOff>
    </xdr:to>
    <xdr:sp macro="" textlink="">
      <xdr:nvSpPr>
        <xdr:cNvPr id="38" name="TextBox 37">
          <a:extLst>
            <a:ext uri="{FF2B5EF4-FFF2-40B4-BE49-F238E27FC236}">
              <a16:creationId xmlns:a16="http://schemas.microsoft.com/office/drawing/2014/main" id="{06FFCB32-2978-4921-AA65-18CDEE90B35F}"/>
            </a:ext>
          </a:extLst>
        </xdr:cNvPr>
        <xdr:cNvSpPr txBox="1"/>
      </xdr:nvSpPr>
      <xdr:spPr>
        <a:xfrm>
          <a:off x="87032" y="2536588"/>
          <a:ext cx="1140925" cy="298823"/>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i="0">
              <a:solidFill>
                <a:schemeClr val="bg2"/>
              </a:solidFill>
              <a:latin typeface="Cambria" panose="02040503050406030204" pitchFamily="18" charset="0"/>
              <a:ea typeface="Cambria" panose="02040503050406030204" pitchFamily="18" charset="0"/>
            </a:rPr>
            <a:t>Avg.Rating⭐</a:t>
          </a:r>
        </a:p>
      </xdr:txBody>
    </xdr:sp>
    <xdr:clientData/>
  </xdr:twoCellAnchor>
  <xdr:twoCellAnchor>
    <xdr:from>
      <xdr:col>0</xdr:col>
      <xdr:colOff>87032</xdr:colOff>
      <xdr:row>17</xdr:row>
      <xdr:rowOff>90292</xdr:rowOff>
    </xdr:from>
    <xdr:to>
      <xdr:col>1</xdr:col>
      <xdr:colOff>1381850</xdr:colOff>
      <xdr:row>18</xdr:row>
      <xdr:rowOff>118933</xdr:rowOff>
    </xdr:to>
    <xdr:sp macro="" textlink="">
      <xdr:nvSpPr>
        <xdr:cNvPr id="39" name="TextBox 38">
          <a:extLst>
            <a:ext uri="{FF2B5EF4-FFF2-40B4-BE49-F238E27FC236}">
              <a16:creationId xmlns:a16="http://schemas.microsoft.com/office/drawing/2014/main" id="{5A626BC0-2172-4770-ABF6-F4F5C196D564}"/>
            </a:ext>
          </a:extLst>
        </xdr:cNvPr>
        <xdr:cNvSpPr txBox="1"/>
      </xdr:nvSpPr>
      <xdr:spPr>
        <a:xfrm>
          <a:off x="87032" y="3265292"/>
          <a:ext cx="1526406" cy="215406"/>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i="0">
              <a:solidFill>
                <a:schemeClr val="bg2"/>
              </a:solidFill>
              <a:latin typeface="Cambria" panose="02040503050406030204" pitchFamily="18" charset="0"/>
              <a:ea typeface="Cambria" panose="02040503050406030204" pitchFamily="18" charset="0"/>
            </a:rPr>
            <a:t>Days to Deliver📅</a:t>
          </a:r>
        </a:p>
      </xdr:txBody>
    </xdr:sp>
    <xdr:clientData/>
  </xdr:twoCellAnchor>
  <xdr:twoCellAnchor>
    <xdr:from>
      <xdr:col>3</xdr:col>
      <xdr:colOff>171824</xdr:colOff>
      <xdr:row>1</xdr:row>
      <xdr:rowOff>0</xdr:rowOff>
    </xdr:from>
    <xdr:to>
      <xdr:col>11</xdr:col>
      <xdr:colOff>326571</xdr:colOff>
      <xdr:row>15</xdr:row>
      <xdr:rowOff>173317</xdr:rowOff>
    </xdr:to>
    <xdr:graphicFrame macro="">
      <xdr:nvGraphicFramePr>
        <xdr:cNvPr id="41" name="Chart 40">
          <a:extLst>
            <a:ext uri="{FF2B5EF4-FFF2-40B4-BE49-F238E27FC236}">
              <a16:creationId xmlns:a16="http://schemas.microsoft.com/office/drawing/2014/main" id="{08C6EFDB-8520-4CEB-A3C9-0EE903B2B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678</xdr:colOff>
      <xdr:row>1</xdr:row>
      <xdr:rowOff>1</xdr:rowOff>
    </xdr:from>
    <xdr:to>
      <xdr:col>22</xdr:col>
      <xdr:colOff>190499</xdr:colOff>
      <xdr:row>16</xdr:row>
      <xdr:rowOff>1</xdr:rowOff>
    </xdr:to>
    <xdr:sp macro="" textlink="">
      <xdr:nvSpPr>
        <xdr:cNvPr id="46" name="Rectangle 45">
          <a:extLst>
            <a:ext uri="{FF2B5EF4-FFF2-40B4-BE49-F238E27FC236}">
              <a16:creationId xmlns:a16="http://schemas.microsoft.com/office/drawing/2014/main" id="{87C59C8D-3ACE-DBC1-EBAA-CC9CFF01E579}"/>
            </a:ext>
          </a:extLst>
        </xdr:cNvPr>
        <xdr:cNvSpPr/>
      </xdr:nvSpPr>
      <xdr:spPr>
        <a:xfrm>
          <a:off x="7135769" y="184728"/>
          <a:ext cx="6308912" cy="277090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12</xdr:col>
          <xdr:colOff>146066</xdr:colOff>
          <xdr:row>1</xdr:row>
          <xdr:rowOff>110991</xdr:rowOff>
        </xdr:from>
        <xdr:to>
          <xdr:col>22</xdr:col>
          <xdr:colOff>68302</xdr:colOff>
          <xdr:row>15</xdr:row>
          <xdr:rowOff>92993</xdr:rowOff>
        </xdr:to>
        <xdr:pic>
          <xdr:nvPicPr>
            <xdr:cNvPr id="44" name="Picture 43">
              <a:extLst>
                <a:ext uri="{FF2B5EF4-FFF2-40B4-BE49-F238E27FC236}">
                  <a16:creationId xmlns:a16="http://schemas.microsoft.com/office/drawing/2014/main" id="{D1DF2921-845B-22CC-8391-CADC03C31F0E}"/>
                </a:ext>
              </a:extLst>
            </xdr:cNvPr>
            <xdr:cNvPicPr>
              <a:picLocks noChangeAspect="1" noChangeArrowheads="1"/>
              <a:extLst>
                <a:ext uri="{84589F7E-364E-4C9E-8A38-B11213B215E9}">
                  <a14:cameraTool cellRange="'Gender Matrix'!$H$4:$L$9" spid="_x0000_s1106"/>
                </a:ext>
              </a:extLst>
            </xdr:cNvPicPr>
          </xdr:nvPicPr>
          <xdr:blipFill>
            <a:blip xmlns:r="http://schemas.openxmlformats.org/officeDocument/2006/relationships" r:embed="rId3"/>
            <a:srcRect/>
            <a:stretch>
              <a:fillRect/>
            </a:stretch>
          </xdr:blipFill>
          <xdr:spPr bwMode="auto">
            <a:xfrm>
              <a:off x="7267137" y="292420"/>
              <a:ext cx="6000094" cy="2522002"/>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22</xdr:col>
      <xdr:colOff>488736</xdr:colOff>
      <xdr:row>0</xdr:row>
      <xdr:rowOff>168728</xdr:rowOff>
    </xdr:from>
    <xdr:to>
      <xdr:col>30</xdr:col>
      <xdr:colOff>373529</xdr:colOff>
      <xdr:row>16</xdr:row>
      <xdr:rowOff>0</xdr:rowOff>
    </xdr:to>
    <xdr:graphicFrame macro="">
      <xdr:nvGraphicFramePr>
        <xdr:cNvPr id="47" name="Chart 46">
          <a:extLst>
            <a:ext uri="{FF2B5EF4-FFF2-40B4-BE49-F238E27FC236}">
              <a16:creationId xmlns:a16="http://schemas.microsoft.com/office/drawing/2014/main" id="{A3A947C0-FFA7-4B8A-AAC1-C74A02F01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173180</xdr:colOff>
      <xdr:row>17</xdr:row>
      <xdr:rowOff>69270</xdr:rowOff>
    </xdr:from>
    <xdr:to>
      <xdr:col>11</xdr:col>
      <xdr:colOff>565726</xdr:colOff>
      <xdr:row>44</xdr:row>
      <xdr:rowOff>46181</xdr:rowOff>
    </xdr:to>
    <xdr:graphicFrame macro="">
      <xdr:nvGraphicFramePr>
        <xdr:cNvPr id="48" name="Chart 47">
          <a:extLst>
            <a:ext uri="{FF2B5EF4-FFF2-40B4-BE49-F238E27FC236}">
              <a16:creationId xmlns:a16="http://schemas.microsoft.com/office/drawing/2014/main" id="{1F9B80C0-0556-42D3-8B01-E3CB68825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246418</xdr:colOff>
      <xdr:row>32</xdr:row>
      <xdr:rowOff>47625</xdr:rowOff>
    </xdr:from>
    <xdr:to>
      <xdr:col>11</xdr:col>
      <xdr:colOff>544142</xdr:colOff>
      <xdr:row>43</xdr:row>
      <xdr:rowOff>113732</xdr:rowOff>
    </xdr:to>
    <xdr:graphicFrame macro="">
      <xdr:nvGraphicFramePr>
        <xdr:cNvPr id="49" name="Chart 48">
          <a:extLst>
            <a:ext uri="{FF2B5EF4-FFF2-40B4-BE49-F238E27FC236}">
              <a16:creationId xmlns:a16="http://schemas.microsoft.com/office/drawing/2014/main" id="{157B7BAD-593E-4782-8CD3-EBCAEA5B1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69381</xdr:colOff>
      <xdr:row>17</xdr:row>
      <xdr:rowOff>75187</xdr:rowOff>
    </xdr:from>
    <xdr:to>
      <xdr:col>19</xdr:col>
      <xdr:colOff>418631</xdr:colOff>
      <xdr:row>44</xdr:row>
      <xdr:rowOff>79375</xdr:rowOff>
    </xdr:to>
    <mc:AlternateContent xmlns:mc="http://schemas.openxmlformats.org/markup-compatibility/2006">
      <mc:Choice xmlns:cx4="http://schemas.microsoft.com/office/drawing/2016/5/10/chartex" Requires="cx4">
        <xdr:graphicFrame macro="">
          <xdr:nvGraphicFramePr>
            <xdr:cNvPr id="50" name="Chart 49">
              <a:extLst>
                <a:ext uri="{FF2B5EF4-FFF2-40B4-BE49-F238E27FC236}">
                  <a16:creationId xmlns:a16="http://schemas.microsoft.com/office/drawing/2014/main" id="{442319A1-1AEE-47F1-82A6-49E544D6F4D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200431" y="3205737"/>
              <a:ext cx="4616450" cy="497623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518251</xdr:colOff>
      <xdr:row>22</xdr:row>
      <xdr:rowOff>163285</xdr:rowOff>
    </xdr:from>
    <xdr:to>
      <xdr:col>19</xdr:col>
      <xdr:colOff>291935</xdr:colOff>
      <xdr:row>31</xdr:row>
      <xdr:rowOff>42059</xdr:rowOff>
    </xdr:to>
    <mc:AlternateContent xmlns:mc="http://schemas.openxmlformats.org/markup-compatibility/2006">
      <mc:Choice xmlns:cx4="http://schemas.microsoft.com/office/drawing/2016/5/10/chartex" Requires="cx4">
        <xdr:graphicFrame macro="">
          <xdr:nvGraphicFramePr>
            <xdr:cNvPr id="51" name="Chart 50">
              <a:extLst>
                <a:ext uri="{FF2B5EF4-FFF2-40B4-BE49-F238E27FC236}">
                  <a16:creationId xmlns:a16="http://schemas.microsoft.com/office/drawing/2014/main" id="{16F58067-0F85-4367-90EF-76DCA02C13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100978" y="4227285"/>
              <a:ext cx="1609412" cy="15413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9070</xdr:colOff>
      <xdr:row>17</xdr:row>
      <xdr:rowOff>79721</xdr:rowOff>
    </xdr:from>
    <xdr:to>
      <xdr:col>30</xdr:col>
      <xdr:colOff>438727</xdr:colOff>
      <xdr:row>30</xdr:row>
      <xdr:rowOff>34636</xdr:rowOff>
    </xdr:to>
    <xdr:graphicFrame macro="">
      <xdr:nvGraphicFramePr>
        <xdr:cNvPr id="52" name="Chart 51">
          <a:extLst>
            <a:ext uri="{FF2B5EF4-FFF2-40B4-BE49-F238E27FC236}">
              <a16:creationId xmlns:a16="http://schemas.microsoft.com/office/drawing/2014/main" id="{7FC57763-85C5-4605-A4EB-1FE10DDFF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539750</xdr:colOff>
      <xdr:row>30</xdr:row>
      <xdr:rowOff>142875</xdr:rowOff>
    </xdr:from>
    <xdr:to>
      <xdr:col>30</xdr:col>
      <xdr:colOff>460375</xdr:colOff>
      <xdr:row>44</xdr:row>
      <xdr:rowOff>111125</xdr:rowOff>
    </xdr:to>
    <xdr:graphicFrame macro="">
      <xdr:nvGraphicFramePr>
        <xdr:cNvPr id="54" name="Chart 53">
          <a:extLst>
            <a:ext uri="{FF2B5EF4-FFF2-40B4-BE49-F238E27FC236}">
              <a16:creationId xmlns:a16="http://schemas.microsoft.com/office/drawing/2014/main" id="{AA550F09-7F60-4818-BD01-496A70C19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85148</xdr:colOff>
      <xdr:row>20</xdr:row>
      <xdr:rowOff>102177</xdr:rowOff>
    </xdr:from>
    <xdr:to>
      <xdr:col>2</xdr:col>
      <xdr:colOff>120073</xdr:colOff>
      <xdr:row>30</xdr:row>
      <xdr:rowOff>121227</xdr:rowOff>
    </xdr:to>
    <mc:AlternateContent xmlns:mc="http://schemas.openxmlformats.org/markup-compatibility/2006" xmlns:a14="http://schemas.microsoft.com/office/drawing/2010/main">
      <mc:Choice Requires="a14">
        <xdr:graphicFrame macro="">
          <xdr:nvGraphicFramePr>
            <xdr:cNvPr id="55" name="Order Mode">
              <a:extLst>
                <a:ext uri="{FF2B5EF4-FFF2-40B4-BE49-F238E27FC236}">
                  <a16:creationId xmlns:a16="http://schemas.microsoft.com/office/drawing/2014/main" id="{E31542AC-5F34-41EF-B87E-7A2974102B70}"/>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85148" y="3785177"/>
              <a:ext cx="1819275" cy="1860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97560</xdr:colOff>
      <xdr:row>31</xdr:row>
      <xdr:rowOff>57150</xdr:rowOff>
    </xdr:from>
    <xdr:to>
      <xdr:col>2</xdr:col>
      <xdr:colOff>120650</xdr:colOff>
      <xdr:row>41</xdr:row>
      <xdr:rowOff>95250</xdr:rowOff>
    </xdr:to>
    <mc:AlternateContent xmlns:mc="http://schemas.openxmlformats.org/markup-compatibility/2006">
      <mc:Choice xmlns:a14="http://schemas.microsoft.com/office/drawing/2010/main" Requires="a14">
        <xdr:graphicFrame macro="">
          <xdr:nvGraphicFramePr>
            <xdr:cNvPr id="6" name="Gender Value">
              <a:extLst>
                <a:ext uri="{FF2B5EF4-FFF2-40B4-BE49-F238E27FC236}">
                  <a16:creationId xmlns:a16="http://schemas.microsoft.com/office/drawing/2014/main" id="{EF076E8E-6D99-4A32-9510-57C7928CFE7E}"/>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97560" y="5865839"/>
              <a:ext cx="1813582" cy="19118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aka Ratna" refreshedDate="46047.540401388891" createdVersion="8" refreshedVersion="8" minRefreshableVersion="3" recordCount="2400" xr:uid="{E30D8566-11F8-4704-833D-4837D99CE253}">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237805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7770FA-3280-4857-8BE9-373456705CE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formats count="12">
    <format dxfId="22">
      <pivotArea type="all" dataOnly="0" outline="0" fieldPosition="0"/>
    </format>
    <format dxfId="23">
      <pivotArea outline="0" collapsedLevelsAreSubtotals="1" fieldPosition="0"/>
    </format>
    <format dxfId="24">
      <pivotArea type="origin" dataOnly="0" labelOnly="1" outline="0" fieldPosition="0"/>
    </format>
    <format dxfId="25">
      <pivotArea field="14" type="button" dataOnly="0" labelOnly="1" outline="0" axis="axisCol" fieldPosition="0"/>
    </format>
    <format dxfId="26">
      <pivotArea type="topRight" dataOnly="0" labelOnly="1" outline="0" fieldPosition="0"/>
    </format>
    <format dxfId="27">
      <pivotArea field="8" type="button" dataOnly="0" labelOnly="1" outline="0" axis="axisRow" fieldPosition="0"/>
    </format>
    <format dxfId="28">
      <pivotArea dataOnly="0" labelOnly="1" fieldPosition="0">
        <references count="1">
          <reference field="8" count="0"/>
        </references>
      </pivotArea>
    </format>
    <format dxfId="29">
      <pivotArea dataOnly="0" labelOnly="1" grandRow="1" outline="0" fieldPosition="0"/>
    </format>
    <format dxfId="30">
      <pivotArea dataOnly="0" labelOnly="1" fieldPosition="0">
        <references count="1">
          <reference field="14" count="0"/>
        </references>
      </pivotArea>
    </format>
    <format dxfId="31">
      <pivotArea dataOnly="0" labelOnly="1" grandCol="1" outline="0" fieldPosition="0"/>
    </format>
    <format dxfId="32">
      <pivotArea collapsedLevelsAreSubtotals="1" fieldPosition="0">
        <references count="1">
          <reference field="8" count="0"/>
        </references>
      </pivotArea>
    </format>
    <format dxfId="33">
      <pivotArea dataOnly="0" labelOnly="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3AC3D6-1352-4D88-8835-5ED4DD35403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W2:AC7"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8">
        <item x="0"/>
        <item x="1"/>
        <item x="2"/>
        <item x="4"/>
        <item x="3"/>
        <item x="5"/>
        <item x="6"/>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7"/>
    <field x="16"/>
    <field x="5"/>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0">
    <chartFormat chart="13" format="0" series="1">
      <pivotArea type="data" outline="0" fieldPosition="0">
        <references count="2">
          <reference field="4294967294" count="1" selected="0">
            <x v="0"/>
          </reference>
          <reference field="9" count="1" selected="0">
            <x v="0"/>
          </reference>
        </references>
      </pivotArea>
    </chartFormat>
    <chartFormat chart="13" format="1" series="1">
      <pivotArea type="data" outline="0" fieldPosition="0">
        <references count="2">
          <reference field="4294967294" count="1" selected="0">
            <x v="0"/>
          </reference>
          <reference field="9" count="1" selected="0">
            <x v="1"/>
          </reference>
        </references>
      </pivotArea>
    </chartFormat>
    <chartFormat chart="13" format="2" series="1">
      <pivotArea type="data" outline="0" fieldPosition="0">
        <references count="2">
          <reference field="4294967294" count="1" selected="0">
            <x v="0"/>
          </reference>
          <reference field="9" count="1" selected="0">
            <x v="2"/>
          </reference>
        </references>
      </pivotArea>
    </chartFormat>
    <chartFormat chart="13" format="3" series="1">
      <pivotArea type="data" outline="0" fieldPosition="0">
        <references count="2">
          <reference field="4294967294" count="1" selected="0">
            <x v="0"/>
          </reference>
          <reference field="9" count="1" selected="0">
            <x v="3"/>
          </reference>
        </references>
      </pivotArea>
    </chartFormat>
    <chartFormat chart="13" format="4" series="1">
      <pivotArea type="data" outline="0" fieldPosition="0">
        <references count="2">
          <reference field="4294967294" count="1" selected="0">
            <x v="0"/>
          </reference>
          <reference field="9" count="1" selected="0">
            <x v="4"/>
          </reference>
        </references>
      </pivotArea>
    </chartFormat>
    <chartFormat chart="19" format="10" series="1">
      <pivotArea type="data" outline="0" fieldPosition="0">
        <references count="2">
          <reference field="4294967294" count="1" selected="0">
            <x v="0"/>
          </reference>
          <reference field="9" count="1" selected="0">
            <x v="0"/>
          </reference>
        </references>
      </pivotArea>
    </chartFormat>
    <chartFormat chart="19" format="11" series="1">
      <pivotArea type="data" outline="0" fieldPosition="0">
        <references count="2">
          <reference field="4294967294" count="1" selected="0">
            <x v="0"/>
          </reference>
          <reference field="9" count="1" selected="0">
            <x v="1"/>
          </reference>
        </references>
      </pivotArea>
    </chartFormat>
    <chartFormat chart="19" format="12" series="1">
      <pivotArea type="data" outline="0" fieldPosition="0">
        <references count="2">
          <reference field="4294967294" count="1" selected="0">
            <x v="0"/>
          </reference>
          <reference field="9" count="1" selected="0">
            <x v="2"/>
          </reference>
        </references>
      </pivotArea>
    </chartFormat>
    <chartFormat chart="19" format="13" series="1">
      <pivotArea type="data" outline="0" fieldPosition="0">
        <references count="2">
          <reference field="4294967294" count="1" selected="0">
            <x v="0"/>
          </reference>
          <reference field="9" count="1" selected="0">
            <x v="3"/>
          </reference>
        </references>
      </pivotArea>
    </chartFormat>
    <chartFormat chart="19"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9EBF0B-C676-4842-AE32-33424D774C4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2:B78"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formats count="1">
    <format dxfId="21">
      <pivotArea dataOnly="0" labelOnly="1"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F1A957-B422-4019-823D-E7B9E965B11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7:C21"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formats count="2">
    <format dxfId="11">
      <pivotArea dataOnly="0" labelOnly="1" outline="0" fieldPosition="0">
        <references count="1">
          <reference field="4294967294" count="2">
            <x v="0"/>
            <x v="1"/>
          </reference>
        </references>
      </pivotArea>
    </format>
    <format dxfId="12">
      <pivotArea outline="0" fieldPosition="0">
        <references count="1">
          <reference field="4294967294" count="1">
            <x v="1"/>
          </reference>
        </references>
      </pivotArea>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4E9AC9-B308-462A-8D3F-31B86B85488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36:I41"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Row"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items count="5">
        <item x="2"/>
        <item h="1" x="1"/>
        <item h="1" x="3"/>
        <item h="1"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Sum of Quantity" fld="2" baseField="0" baseItem="0" numFmtId="4"/>
  </dataFields>
  <formats count="1">
    <format dxfId="19">
      <pivotArea outline="0" collapsedLevelsAreSubtotals="1" fieldPosition="0"/>
    </format>
  </formats>
  <chartFormats count="13">
    <chartFormat chart="6" format="0" series="1">
      <pivotArea type="data" outline="0" fieldPosition="0">
        <references count="2">
          <reference field="4294967294" count="1" selected="0">
            <x v="0"/>
          </reference>
          <reference field="7" count="1" selected="0">
            <x v="0"/>
          </reference>
        </references>
      </pivotArea>
    </chartFormat>
    <chartFormat chart="6" format="1" series="1">
      <pivotArea type="data" outline="0" fieldPosition="0">
        <references count="2">
          <reference field="4294967294" count="1" selected="0">
            <x v="0"/>
          </reference>
          <reference field="7" count="1" selected="0">
            <x v="1"/>
          </reference>
        </references>
      </pivotArea>
    </chartFormat>
    <chartFormat chart="6" format="2" series="1">
      <pivotArea type="data" outline="0" fieldPosition="0">
        <references count="2">
          <reference field="4294967294" count="1" selected="0">
            <x v="0"/>
          </reference>
          <reference field="7" count="1" selected="0">
            <x v="2"/>
          </reference>
        </references>
      </pivotArea>
    </chartFormat>
    <chartFormat chart="6" format="3" series="1">
      <pivotArea type="data" outline="0" fieldPosition="0">
        <references count="2">
          <reference field="4294967294" count="1" selected="0">
            <x v="0"/>
          </reference>
          <reference field="7" count="1" selected="0">
            <x v="3"/>
          </reference>
        </references>
      </pivotArea>
    </chartFormat>
    <chartFormat chart="8" format="8" series="1">
      <pivotArea type="data" outline="0" fieldPosition="0">
        <references count="2">
          <reference field="4294967294" count="1" selected="0">
            <x v="0"/>
          </reference>
          <reference field="7" count="1" selected="0">
            <x v="0"/>
          </reference>
        </references>
      </pivotArea>
    </chartFormat>
    <chartFormat chart="8" format="9" series="1">
      <pivotArea type="data" outline="0" fieldPosition="0">
        <references count="2">
          <reference field="4294967294" count="1" selected="0">
            <x v="0"/>
          </reference>
          <reference field="7" count="1" selected="0">
            <x v="1"/>
          </reference>
        </references>
      </pivotArea>
    </chartFormat>
    <chartFormat chart="8" format="10" series="1">
      <pivotArea type="data" outline="0" fieldPosition="0">
        <references count="2">
          <reference field="4294967294" count="1" selected="0">
            <x v="0"/>
          </reference>
          <reference field="7" count="1" selected="0">
            <x v="2"/>
          </reference>
        </references>
      </pivotArea>
    </chartFormat>
    <chartFormat chart="8" format="11" series="1">
      <pivotArea type="data" outline="0" fieldPosition="0">
        <references count="2">
          <reference field="4294967294" count="1" selected="0">
            <x v="0"/>
          </reference>
          <reference field="7"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7" count="1" selected="0">
            <x v="0"/>
          </reference>
        </references>
      </pivotArea>
    </chartFormat>
    <chartFormat chart="21" format="12">
      <pivotArea type="data" outline="0" fieldPosition="0">
        <references count="2">
          <reference field="4294967294" count="1" selected="0">
            <x v="0"/>
          </reference>
          <reference field="7" count="1" selected="0">
            <x v="1"/>
          </reference>
        </references>
      </pivotArea>
    </chartFormat>
    <chartFormat chart="21" format="13">
      <pivotArea type="data" outline="0" fieldPosition="0">
        <references count="2">
          <reference field="4294967294" count="1" selected="0">
            <x v="0"/>
          </reference>
          <reference field="7" count="1" selected="0">
            <x v="2"/>
          </reference>
        </references>
      </pivotArea>
    </chartFormat>
    <chartFormat chart="21"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00DBD6-0311-441A-BE9C-128DBDD5EB1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6:F58"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Col"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items count="5">
        <item h="1" x="2"/>
        <item x="1"/>
        <item h="1" x="3"/>
        <item h="1" x="0"/>
        <item t="default"/>
      </items>
    </pivotField>
    <pivotField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7"/>
  </colFields>
  <colItems count="5">
    <i>
      <x/>
    </i>
    <i>
      <x v="1"/>
    </i>
    <i>
      <x v="2"/>
    </i>
    <i>
      <x v="3"/>
    </i>
    <i t="grand">
      <x/>
    </i>
  </colItems>
  <dataFields count="1">
    <dataField name="Sum of Quantity" fld="2" baseField="0" baseItem="0"/>
  </dataFields>
  <chartFormats count="4">
    <chartFormat chart="8" format="8" series="1">
      <pivotArea type="data" outline="0" fieldPosition="0">
        <references count="2">
          <reference field="4294967294" count="1" selected="0">
            <x v="0"/>
          </reference>
          <reference field="7" count="1" selected="0">
            <x v="0"/>
          </reference>
        </references>
      </pivotArea>
    </chartFormat>
    <chartFormat chart="8" format="9" series="1">
      <pivotArea type="data" outline="0" fieldPosition="0">
        <references count="2">
          <reference field="4294967294" count="1" selected="0">
            <x v="0"/>
          </reference>
          <reference field="7" count="1" selected="0">
            <x v="1"/>
          </reference>
        </references>
      </pivotArea>
    </chartFormat>
    <chartFormat chart="8" format="10" series="1">
      <pivotArea type="data" outline="0" fieldPosition="0">
        <references count="2">
          <reference field="4294967294" count="1" selected="0">
            <x v="0"/>
          </reference>
          <reference field="7" count="1" selected="0">
            <x v="2"/>
          </reference>
        </references>
      </pivotArea>
    </chartFormat>
    <chartFormat chart="8"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5A930D-B682-48B0-9B83-676106B73380}"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2">
  <location ref="K36:N94"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items count="4">
        <item x="0"/>
        <item x="2"/>
        <item x="1"/>
        <item x="3"/>
      </items>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n="6 to 10" x="5"/>
        <item n="More than 10"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formats count="5">
    <format dxfId="14">
      <pivotArea outline="0" collapsedLevelsAreSubtotals="1" fieldPosition="0"/>
    </format>
    <format dxfId="15">
      <pivotArea outline="0" collapsedLevelsAreSubtotals="1" fieldPosition="0">
        <references count="1">
          <reference field="4294967294" count="1" selected="0">
            <x v="0"/>
          </reference>
        </references>
      </pivotArea>
    </format>
    <format dxfId="16">
      <pivotArea dataOnly="0" labelOnly="1" outline="0" fieldPosition="0">
        <references count="1">
          <reference field="4294967294" count="1">
            <x v="0"/>
          </reference>
        </references>
      </pivotArea>
    </format>
    <format dxfId="17">
      <pivotArea outline="0" collapsedLevelsAreSubtotals="1" fieldPosition="0">
        <references count="1">
          <reference field="4294967294" count="1" selected="0">
            <x v="1"/>
          </reference>
        </references>
      </pivotArea>
    </format>
    <format dxfId="18">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95CA57-8CFD-4E00-A449-75601C85D1D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5:B33"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formats count="1">
    <format dxfId="20">
      <pivotArea dataOnly="0" labelOnly="1" outline="0" fieldPosition="0">
        <references count="1">
          <reference field="4294967294" count="1">
            <x v="0"/>
          </reference>
        </references>
      </pivotArea>
    </format>
  </formats>
  <chartFormats count="2">
    <chartFormat chart="2"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120356-089C-4013-A6B9-B700CE809496}"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formats count="1">
    <format dxfId="13">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50C2C28F-0D80-403F-A369-0FCDE90891E4}" sourceName="Order Mode">
  <pivotTables>
    <pivotTable tabId="5" name="PivotTable13"/>
    <pivotTable tabId="5" name="PivotTable10"/>
    <pivotTable tabId="5" name="PivotTable5"/>
    <pivotTable tabId="5" name="PivotTable6"/>
    <pivotTable tabId="5" name="PivotTable7"/>
    <pivotTable tabId="5" name="PivotTable9"/>
    <pivotTable tabId="5" name="pvtSummary"/>
    <pivotTable tabId="5" name="PivotTable2"/>
  </pivotTables>
  <data>
    <tabular pivotCacheId="1237805611">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EFB8B8DC-6374-4C6C-AA14-F8F4B65DA8FA}" sourceName="Gender Value">
  <pivotTables>
    <pivotTable tabId="5" name="PivotTable13"/>
    <pivotTable tabId="5" name="PivotTable2"/>
    <pivotTable tabId="5" name="PivotTable5"/>
    <pivotTable tabId="5" name="pvtSummary"/>
    <pivotTable tabId="5" name="PivotTable10"/>
    <pivotTable tabId="5" name="PivotTable9"/>
  </pivotTables>
  <data>
    <tabular pivotCacheId="123780561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50E53FD1-0FF8-4B82-ABA8-1C0249811775}" cache="Slicer_Order_Mode" caption="Order Mode" rowHeight="251883"/>
  <slicer name="Gender Value" xr10:uid="{A2AE42A7-3B18-4822-BBE1-0830DD924FEA}" cache="Slicer_Gender_Value" caption="Gender Valu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38"/>
    <tableColumn id="7" xr3:uid="{43BB5DBF-46E1-4185-80C0-4361F55A385C}" name="Ship Date" dataDxfId="37"/>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36">
      <calculatedColumnFormula>orders[[#This Row],[Ship Date]]-orders[[#This Row],[Order Date]]</calculatedColumnFormula>
    </tableColumn>
    <tableColumn id="12" xr3:uid="{B071C0DA-87A9-4516-B4D9-4F5B7D3FF44A}" name="Weeknum" dataDxfId="35">
      <calculatedColumnFormula>WEEKNUM(orders[[#This Row],[Order Date]])</calculatedColumnFormula>
    </tableColumn>
    <tableColumn id="13" xr3:uid="{B8EA9E28-7541-4E76-9935-C26438661A18}" name="Gender Value" dataDxfId="34">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tabSelected="1" zoomScale="61" zoomScaleNormal="55" workbookViewId="0">
      <selection activeCell="AG9" sqref="AG9"/>
    </sheetView>
  </sheetViews>
  <sheetFormatPr defaultRowHeight="14.5" x14ac:dyDescent="0.35"/>
  <cols>
    <col min="1" max="1" width="3.36328125" customWidth="1"/>
    <col min="2" max="2" width="22.1796875" customWidth="1"/>
    <col min="3" max="4" width="3.36328125" customWidth="1"/>
    <col min="26" max="26" width="3.363281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D4B77-1E25-4ED4-80F2-2D478DE1B48A}">
  <dimension ref="A2:L14"/>
  <sheetViews>
    <sheetView showGridLines="0" workbookViewId="0">
      <selection activeCell="H4" sqref="H4"/>
    </sheetView>
  </sheetViews>
  <sheetFormatPr defaultRowHeight="14.5" x14ac:dyDescent="0.35"/>
  <cols>
    <col min="1" max="1" width="13.6328125" bestFit="1" customWidth="1"/>
    <col min="2" max="2" width="15.6328125" bestFit="1" customWidth="1"/>
    <col min="3" max="3" width="6.90625" bestFit="1" customWidth="1"/>
    <col min="4" max="4" width="5.90625" bestFit="1" customWidth="1"/>
    <col min="6" max="6" width="10.36328125" bestFit="1" customWidth="1"/>
    <col min="8" max="8" width="10.26953125" bestFit="1" customWidth="1"/>
    <col min="9" max="9" width="7.81640625" bestFit="1" customWidth="1"/>
    <col min="10" max="10" width="6.36328125" bestFit="1" customWidth="1"/>
    <col min="11" max="11" width="6.26953125" bestFit="1" customWidth="1"/>
    <col min="12" max="12" width="9.90625" bestFit="1" customWidth="1"/>
  </cols>
  <sheetData>
    <row r="2" spans="1:12" x14ac:dyDescent="0.35">
      <c r="H2" t="s">
        <v>2534</v>
      </c>
    </row>
    <row r="3" spans="1:12" x14ac:dyDescent="0.35">
      <c r="A3" s="11" t="s">
        <v>2520</v>
      </c>
      <c r="B3" s="11" t="s">
        <v>2527</v>
      </c>
      <c r="C3" s="11"/>
      <c r="D3" s="11"/>
      <c r="E3" s="11"/>
      <c r="F3" s="11"/>
    </row>
    <row r="4" spans="1:12" x14ac:dyDescent="0.35">
      <c r="A4" s="11" t="s">
        <v>2528</v>
      </c>
      <c r="B4" s="11" t="s">
        <v>2530</v>
      </c>
      <c r="C4" s="11" t="s">
        <v>2531</v>
      </c>
      <c r="D4" s="11" t="s">
        <v>2532</v>
      </c>
      <c r="E4" s="11" t="s">
        <v>2533</v>
      </c>
      <c r="F4" s="11" t="s">
        <v>2529</v>
      </c>
      <c r="H4" s="16"/>
      <c r="I4" s="16" t="str">
        <f t="shared" ref="I4:L9" si="0">B4</f>
        <v>Female</v>
      </c>
      <c r="J4" s="16" t="str">
        <f t="shared" si="0"/>
        <v>Male</v>
      </c>
      <c r="K4" s="16" t="str">
        <f t="shared" si="0"/>
        <v>Other</v>
      </c>
      <c r="L4" s="16" t="str">
        <f t="shared" si="0"/>
        <v>Unknown</v>
      </c>
    </row>
    <row r="5" spans="1:12" x14ac:dyDescent="0.35">
      <c r="A5" s="14" t="s">
        <v>18</v>
      </c>
      <c r="B5" s="15">
        <v>0.18961825201634841</v>
      </c>
      <c r="C5" s="15">
        <v>0.12262322351336576</v>
      </c>
      <c r="D5" s="15">
        <v>1.060537752469185E-2</v>
      </c>
      <c r="E5" s="15">
        <v>3.0599220547662797E-2</v>
      </c>
      <c r="F5" s="15">
        <v>0.35344607360206881</v>
      </c>
      <c r="H5" s="17" t="str">
        <f>A5</f>
        <v>App</v>
      </c>
      <c r="I5" s="18">
        <f t="shared" si="0"/>
        <v>0.18961825201634841</v>
      </c>
      <c r="J5" s="18">
        <f t="shared" si="0"/>
        <v>0.12262322351336576</v>
      </c>
      <c r="K5" s="18">
        <f t="shared" si="0"/>
        <v>1.060537752469185E-2</v>
      </c>
      <c r="L5" s="18">
        <f t="shared" si="0"/>
        <v>3.0599220547662797E-2</v>
      </c>
    </row>
    <row r="6" spans="1:12" x14ac:dyDescent="0.35">
      <c r="A6" s="14" t="s">
        <v>51</v>
      </c>
      <c r="B6" s="15">
        <v>5.0283982091147303E-2</v>
      </c>
      <c r="C6" s="15">
        <v>4.3060781812819873E-2</v>
      </c>
      <c r="D6" s="15">
        <v>1.5320025675641944E-3</v>
      </c>
      <c r="E6" s="15">
        <v>1.7794988689097006E-2</v>
      </c>
      <c r="F6" s="15">
        <v>0.11267175516062837</v>
      </c>
      <c r="H6" s="17" t="str">
        <f>A6</f>
        <v>Instagram</v>
      </c>
      <c r="I6" s="18">
        <f t="shared" si="0"/>
        <v>5.0283982091147303E-2</v>
      </c>
      <c r="J6" s="18">
        <f t="shared" si="0"/>
        <v>4.3060781812819873E-2</v>
      </c>
      <c r="K6" s="18">
        <f t="shared" si="0"/>
        <v>1.5320025675641944E-3</v>
      </c>
      <c r="L6" s="18">
        <f t="shared" si="0"/>
        <v>1.7794988689097006E-2</v>
      </c>
    </row>
    <row r="7" spans="1:12" x14ac:dyDescent="0.35">
      <c r="A7" s="14" t="s">
        <v>70</v>
      </c>
      <c r="B7" s="15">
        <v>6.3496059750411282E-2</v>
      </c>
      <c r="C7" s="15">
        <v>4.6071629863988765E-2</v>
      </c>
      <c r="D7" s="15">
        <v>2.306247051322625E-3</v>
      </c>
      <c r="E7" s="15">
        <v>3.8927934093844286E-3</v>
      </c>
      <c r="F7" s="15">
        <v>0.11576673007510711</v>
      </c>
      <c r="H7" s="17" t="str">
        <f>A7</f>
        <v>Partner App</v>
      </c>
      <c r="I7" s="18">
        <f t="shared" si="0"/>
        <v>6.3496059750411282E-2</v>
      </c>
      <c r="J7" s="18">
        <f t="shared" si="0"/>
        <v>4.6071629863988765E-2</v>
      </c>
      <c r="K7" s="18">
        <f t="shared" si="0"/>
        <v>2.306247051322625E-3</v>
      </c>
      <c r="L7" s="18">
        <f t="shared" si="0"/>
        <v>3.8927934093844286E-3</v>
      </c>
    </row>
    <row r="8" spans="1:12" x14ac:dyDescent="0.35">
      <c r="A8" s="14" t="s">
        <v>40</v>
      </c>
      <c r="B8" s="15">
        <v>9.6337892927149532E-2</v>
      </c>
      <c r="C8" s="15">
        <v>6.7920115842382611E-2</v>
      </c>
      <c r="D8" s="15">
        <v>5.4979832664581261E-3</v>
      </c>
      <c r="E8" s="15">
        <v>1.2933041488102518E-2</v>
      </c>
      <c r="F8" s="15">
        <v>0.1826890335240928</v>
      </c>
      <c r="H8" s="17" t="str">
        <f>A8</f>
        <v>Target.com</v>
      </c>
      <c r="I8" s="18">
        <f t="shared" si="0"/>
        <v>9.6337892927149532E-2</v>
      </c>
      <c r="J8" s="18">
        <f t="shared" si="0"/>
        <v>6.7920115842382611E-2</v>
      </c>
      <c r="K8" s="18">
        <f t="shared" si="0"/>
        <v>5.4979832664581261E-3</v>
      </c>
      <c r="L8" s="18">
        <f t="shared" si="0"/>
        <v>1.2933041488102518E-2</v>
      </c>
    </row>
    <row r="9" spans="1:12" x14ac:dyDescent="0.35">
      <c r="A9" s="14" t="s">
        <v>35</v>
      </c>
      <c r="B9" s="15">
        <v>0.12522098709469262</v>
      </c>
      <c r="C9" s="15">
        <v>9.1492740283116228E-2</v>
      </c>
      <c r="D9" s="15">
        <v>6.3042760790965081E-3</v>
      </c>
      <c r="E9" s="15">
        <v>1.2408404181197551E-2</v>
      </c>
      <c r="F9" s="15">
        <v>0.23542640763810288</v>
      </c>
      <c r="H9" s="17" t="str">
        <f>A9</f>
        <v>Website</v>
      </c>
      <c r="I9" s="18">
        <f t="shared" si="0"/>
        <v>0.12522098709469262</v>
      </c>
      <c r="J9" s="18">
        <f t="shared" si="0"/>
        <v>9.1492740283116228E-2</v>
      </c>
      <c r="K9" s="18">
        <f t="shared" si="0"/>
        <v>6.3042760790965081E-3</v>
      </c>
      <c r="L9" s="18">
        <f t="shared" si="0"/>
        <v>1.2408404181197551E-2</v>
      </c>
    </row>
    <row r="10" spans="1:12" x14ac:dyDescent="0.35">
      <c r="A10" s="12" t="s">
        <v>2529</v>
      </c>
      <c r="B10" s="13">
        <v>0.52495717387974916</v>
      </c>
      <c r="C10" s="13">
        <v>0.3711684913156732</v>
      </c>
      <c r="D10" s="13">
        <v>2.6245886489133303E-2</v>
      </c>
      <c r="E10" s="13">
        <v>7.7628448315444312E-2</v>
      </c>
      <c r="F10" s="13">
        <v>1</v>
      </c>
    </row>
    <row r="14" spans="1:12" x14ac:dyDescent="0.35">
      <c r="K14" t="s">
        <v>2535</v>
      </c>
    </row>
  </sheetData>
  <conditionalFormatting sqref="H4: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C8921-BC63-4C12-8864-7959EEF1B93D}">
  <dimension ref="A1:AC94"/>
  <sheetViews>
    <sheetView topLeftCell="A2" zoomScaleNormal="100" workbookViewId="0">
      <selection activeCell="G2" sqref="G2:K4"/>
    </sheetView>
  </sheetViews>
  <sheetFormatPr defaultRowHeight="14.5" x14ac:dyDescent="0.35"/>
  <cols>
    <col min="1" max="1" width="12.453125" bestFit="1" customWidth="1"/>
    <col min="2" max="2" width="14.26953125" bestFit="1" customWidth="1"/>
    <col min="3" max="3" width="13.6328125" bestFit="1" customWidth="1"/>
    <col min="4" max="4" width="16.81640625" bestFit="1" customWidth="1"/>
    <col min="5" max="5" width="22.36328125" bestFit="1" customWidth="1"/>
    <col min="6" max="6" width="10.36328125" bestFit="1" customWidth="1"/>
    <col min="7" max="7" width="15.1796875" bestFit="1" customWidth="1"/>
    <col min="8" max="8" width="12.453125" bestFit="1" customWidth="1"/>
    <col min="9" max="9" width="14.26953125" bestFit="1" customWidth="1"/>
    <col min="10" max="10" width="4.81640625" bestFit="1" customWidth="1"/>
    <col min="11" max="11" width="23.1796875" bestFit="1" customWidth="1"/>
    <col min="12" max="12" width="19.81640625" bestFit="1" customWidth="1"/>
    <col min="13" max="13" width="14.26953125" bestFit="1" customWidth="1"/>
    <col min="14" max="14" width="13.6328125" bestFit="1" customWidth="1"/>
    <col min="16" max="16" width="12.36328125" bestFit="1" customWidth="1"/>
    <col min="17" max="17" width="19.81640625" bestFit="1" customWidth="1"/>
    <col min="18" max="18" width="14.26953125" bestFit="1" customWidth="1"/>
    <col min="20" max="20" width="15.90625" bestFit="1" customWidth="1"/>
    <col min="21" max="21" width="19.81640625" bestFit="1" customWidth="1"/>
    <col min="22" max="22" width="13.6328125" bestFit="1" customWidth="1"/>
    <col min="23" max="23" width="12.453125" bestFit="1" customWidth="1"/>
    <col min="24" max="24" width="15.6328125" bestFit="1" customWidth="1"/>
    <col min="25" max="26" width="3.81640625" bestFit="1" customWidth="1"/>
    <col min="27" max="27" width="4.81640625" bestFit="1" customWidth="1"/>
    <col min="28" max="28" width="3.81640625" bestFit="1" customWidth="1"/>
    <col min="29" max="29" width="10.36328125" bestFit="1" customWidth="1"/>
    <col min="30" max="54" width="8.81640625" bestFit="1" customWidth="1"/>
    <col min="55" max="111" width="9.1796875" bestFit="1" customWidth="1"/>
    <col min="112" max="112" width="10.36328125" bestFit="1" customWidth="1"/>
  </cols>
  <sheetData>
    <row r="1" spans="1:29" x14ac:dyDescent="0.35">
      <c r="W1" t="s">
        <v>2542</v>
      </c>
    </row>
    <row r="2" spans="1:29" x14ac:dyDescent="0.35">
      <c r="G2" t="s">
        <v>2523</v>
      </c>
      <c r="W2" s="8" t="s">
        <v>2518</v>
      </c>
      <c r="X2" s="8" t="s">
        <v>2527</v>
      </c>
    </row>
    <row r="3" spans="1:29" x14ac:dyDescent="0.35">
      <c r="A3" s="7" t="s">
        <v>2518</v>
      </c>
      <c r="B3" s="7" t="s">
        <v>2519</v>
      </c>
      <c r="C3" s="7" t="s">
        <v>2520</v>
      </c>
      <c r="D3" s="7" t="s">
        <v>2521</v>
      </c>
      <c r="E3" s="7" t="s">
        <v>2522</v>
      </c>
      <c r="G3" s="7" t="s">
        <v>2517</v>
      </c>
      <c r="H3" s="7" t="s">
        <v>2</v>
      </c>
      <c r="I3" s="7" t="s">
        <v>4</v>
      </c>
      <c r="J3" s="7" t="s">
        <v>2524</v>
      </c>
      <c r="K3" s="7" t="s">
        <v>2525</v>
      </c>
      <c r="W3" s="8" t="s">
        <v>2528</v>
      </c>
      <c r="X3">
        <v>1</v>
      </c>
      <c r="Y3">
        <v>2</v>
      </c>
      <c r="Z3">
        <v>3</v>
      </c>
      <c r="AA3">
        <v>4</v>
      </c>
      <c r="AB3">
        <v>5</v>
      </c>
      <c r="AC3" t="s">
        <v>2529</v>
      </c>
    </row>
    <row r="4" spans="1:29" x14ac:dyDescent="0.35">
      <c r="A4" s="22">
        <v>2400</v>
      </c>
      <c r="B4" s="22">
        <v>11997</v>
      </c>
      <c r="C4" s="22">
        <v>649019.80000000144</v>
      </c>
      <c r="D4" s="22">
        <v>3.9620833333333332</v>
      </c>
      <c r="E4" s="22">
        <v>2.3424999999999998</v>
      </c>
      <c r="G4" s="7" t="str">
        <f>TEXT(A4,"#,##")</f>
        <v>2,400</v>
      </c>
      <c r="H4" s="7" t="str">
        <f t="shared" ref="H4" si="0">TEXT(B4,"#,##")</f>
        <v>11,997</v>
      </c>
      <c r="I4" s="7" t="str">
        <f>TEXT(C4,"$#,##,.0K")</f>
        <v>$649.0K</v>
      </c>
      <c r="J4" s="7" t="str">
        <f>TEXT(D4,"0.0")</f>
        <v>4.0</v>
      </c>
      <c r="K4" s="7" t="str">
        <f>TEXT(E4,"0.0")</f>
        <v>2.3</v>
      </c>
      <c r="W4" s="9" t="s">
        <v>2543</v>
      </c>
      <c r="X4" s="22">
        <v>7</v>
      </c>
      <c r="Y4" s="22">
        <v>37</v>
      </c>
      <c r="Z4" s="22">
        <v>150</v>
      </c>
      <c r="AA4" s="22">
        <v>312</v>
      </c>
      <c r="AB4" s="22">
        <v>224</v>
      </c>
      <c r="AC4" s="22">
        <v>730</v>
      </c>
    </row>
    <row r="5" spans="1:29" x14ac:dyDescent="0.35">
      <c r="G5" s="7"/>
      <c r="H5" s="7"/>
      <c r="I5" s="7"/>
      <c r="J5" s="7"/>
      <c r="K5" s="7"/>
      <c r="W5" s="9" t="s">
        <v>2544</v>
      </c>
      <c r="X5" s="22">
        <v>8</v>
      </c>
      <c r="Y5" s="22">
        <v>51</v>
      </c>
      <c r="Z5" s="22">
        <v>182</v>
      </c>
      <c r="AA5" s="22">
        <v>373</v>
      </c>
      <c r="AB5" s="22">
        <v>247</v>
      </c>
      <c r="AC5" s="22">
        <v>861</v>
      </c>
    </row>
    <row r="6" spans="1:29" x14ac:dyDescent="0.35">
      <c r="A6" t="s">
        <v>2526</v>
      </c>
      <c r="W6" s="9" t="s">
        <v>2545</v>
      </c>
      <c r="X6" s="22">
        <v>6</v>
      </c>
      <c r="Y6" s="22">
        <v>39</v>
      </c>
      <c r="Z6" s="22">
        <v>163</v>
      </c>
      <c r="AA6" s="22">
        <v>351</v>
      </c>
      <c r="AB6" s="22">
        <v>250</v>
      </c>
      <c r="AC6" s="22">
        <v>809</v>
      </c>
    </row>
    <row r="7" spans="1:29" x14ac:dyDescent="0.35">
      <c r="A7" s="8" t="s">
        <v>2528</v>
      </c>
      <c r="B7" s="7" t="s">
        <v>2519</v>
      </c>
      <c r="C7" s="7" t="s">
        <v>2520</v>
      </c>
      <c r="W7" s="9" t="s">
        <v>2529</v>
      </c>
      <c r="X7" s="22">
        <v>21</v>
      </c>
      <c r="Y7" s="22">
        <v>127</v>
      </c>
      <c r="Z7" s="22">
        <v>495</v>
      </c>
      <c r="AA7" s="22">
        <v>1036</v>
      </c>
      <c r="AB7" s="22">
        <v>721</v>
      </c>
      <c r="AC7" s="22">
        <v>2400</v>
      </c>
    </row>
    <row r="8" spans="1:29" x14ac:dyDescent="0.35">
      <c r="A8" s="9">
        <v>1</v>
      </c>
      <c r="B8" s="22">
        <v>546</v>
      </c>
      <c r="C8" s="10">
        <v>32413.300000000003</v>
      </c>
    </row>
    <row r="9" spans="1:29" x14ac:dyDescent="0.35">
      <c r="A9" s="9">
        <v>2</v>
      </c>
      <c r="B9" s="22">
        <v>905</v>
      </c>
      <c r="C9" s="10">
        <v>49562.999999999993</v>
      </c>
    </row>
    <row r="10" spans="1:29" x14ac:dyDescent="0.35">
      <c r="A10" s="9">
        <v>3</v>
      </c>
      <c r="B10" s="22">
        <v>796</v>
      </c>
      <c r="C10" s="10">
        <v>41700.400000000016</v>
      </c>
    </row>
    <row r="11" spans="1:29" x14ac:dyDescent="0.35">
      <c r="A11" s="9">
        <v>4</v>
      </c>
      <c r="B11" s="22">
        <v>913</v>
      </c>
      <c r="C11" s="10">
        <v>46782.599999999984</v>
      </c>
    </row>
    <row r="12" spans="1:29" x14ac:dyDescent="0.35">
      <c r="A12" s="9">
        <v>5</v>
      </c>
      <c r="B12" s="22">
        <v>844</v>
      </c>
      <c r="C12" s="10">
        <v>42676.100000000006</v>
      </c>
    </row>
    <row r="13" spans="1:29" x14ac:dyDescent="0.35">
      <c r="A13" s="9">
        <v>6</v>
      </c>
      <c r="B13" s="22">
        <v>1202</v>
      </c>
      <c r="C13" s="10">
        <v>62910.7</v>
      </c>
    </row>
    <row r="14" spans="1:29" x14ac:dyDescent="0.35">
      <c r="A14" s="9">
        <v>7</v>
      </c>
      <c r="B14" s="22">
        <v>935</v>
      </c>
      <c r="C14" s="10">
        <v>50332.200000000004</v>
      </c>
    </row>
    <row r="15" spans="1:29" x14ac:dyDescent="0.35">
      <c r="A15" s="9">
        <v>8</v>
      </c>
      <c r="B15" s="22">
        <v>1128</v>
      </c>
      <c r="C15" s="10">
        <v>58760.599999999977</v>
      </c>
    </row>
    <row r="16" spans="1:29" x14ac:dyDescent="0.35">
      <c r="A16" s="9">
        <v>9</v>
      </c>
      <c r="B16" s="22">
        <v>1007</v>
      </c>
      <c r="C16" s="10">
        <v>52017.299999999996</v>
      </c>
    </row>
    <row r="17" spans="1:3" x14ac:dyDescent="0.35">
      <c r="A17" s="9">
        <v>10</v>
      </c>
      <c r="B17" s="22">
        <v>1128</v>
      </c>
      <c r="C17" s="10">
        <v>64915.700000000033</v>
      </c>
    </row>
    <row r="18" spans="1:3" x14ac:dyDescent="0.35">
      <c r="A18" s="9">
        <v>11</v>
      </c>
      <c r="B18" s="22">
        <v>861</v>
      </c>
      <c r="C18" s="10">
        <v>45943.80000000001</v>
      </c>
    </row>
    <row r="19" spans="1:3" x14ac:dyDescent="0.35">
      <c r="A19" s="9">
        <v>12</v>
      </c>
      <c r="B19" s="22">
        <v>944</v>
      </c>
      <c r="C19" s="10">
        <v>55077.900000000031</v>
      </c>
    </row>
    <row r="20" spans="1:3" x14ac:dyDescent="0.35">
      <c r="A20" s="9">
        <v>13</v>
      </c>
      <c r="B20" s="22">
        <v>788</v>
      </c>
      <c r="C20" s="10">
        <v>45926.19999999999</v>
      </c>
    </row>
    <row r="21" spans="1:3" x14ac:dyDescent="0.35">
      <c r="A21" s="9" t="s">
        <v>2529</v>
      </c>
      <c r="B21" s="22">
        <v>11997</v>
      </c>
      <c r="C21" s="10">
        <v>649019.79999999993</v>
      </c>
    </row>
    <row r="24" spans="1:3" x14ac:dyDescent="0.35">
      <c r="A24" t="s">
        <v>2536</v>
      </c>
    </row>
    <row r="25" spans="1:3" x14ac:dyDescent="0.35">
      <c r="A25" s="8" t="s">
        <v>2528</v>
      </c>
      <c r="B25" t="s">
        <v>2518</v>
      </c>
    </row>
    <row r="26" spans="1:3" x14ac:dyDescent="0.35">
      <c r="A26" s="9">
        <v>1</v>
      </c>
      <c r="B26" s="22">
        <v>397</v>
      </c>
    </row>
    <row r="27" spans="1:3" x14ac:dyDescent="0.35">
      <c r="A27" s="9">
        <v>2</v>
      </c>
      <c r="B27" s="22">
        <v>540</v>
      </c>
    </row>
    <row r="28" spans="1:3" x14ac:dyDescent="0.35">
      <c r="A28" s="9">
        <v>3</v>
      </c>
      <c r="B28" s="22">
        <v>375</v>
      </c>
    </row>
    <row r="29" spans="1:3" x14ac:dyDescent="0.35">
      <c r="A29" s="9">
        <v>4</v>
      </c>
      <c r="B29" s="22">
        <v>246</v>
      </c>
    </row>
    <row r="30" spans="1:3" x14ac:dyDescent="0.35">
      <c r="A30" s="9">
        <v>5</v>
      </c>
      <c r="B30" s="22">
        <v>195</v>
      </c>
    </row>
    <row r="31" spans="1:3" x14ac:dyDescent="0.35">
      <c r="A31" s="9" t="s">
        <v>2537</v>
      </c>
      <c r="B31" s="22">
        <v>414</v>
      </c>
    </row>
    <row r="32" spans="1:3" x14ac:dyDescent="0.35">
      <c r="A32" s="9" t="s">
        <v>2538</v>
      </c>
      <c r="B32" s="22">
        <v>233</v>
      </c>
    </row>
    <row r="33" spans="1:22" x14ac:dyDescent="0.35">
      <c r="A33" s="9" t="s">
        <v>2529</v>
      </c>
      <c r="B33" s="22">
        <v>2400</v>
      </c>
    </row>
    <row r="35" spans="1:22" x14ac:dyDescent="0.35">
      <c r="A35" s="9" t="s">
        <v>2539</v>
      </c>
      <c r="P35" t="s">
        <v>2540</v>
      </c>
      <c r="T35" t="s">
        <v>2541</v>
      </c>
    </row>
    <row r="36" spans="1:22" x14ac:dyDescent="0.35">
      <c r="A36" s="8" t="s">
        <v>2519</v>
      </c>
      <c r="B36" s="8" t="s">
        <v>2527</v>
      </c>
      <c r="H36" s="8" t="s">
        <v>2528</v>
      </c>
      <c r="I36" t="s">
        <v>2519</v>
      </c>
      <c r="K36" s="8" t="s">
        <v>10</v>
      </c>
      <c r="L36" s="8" t="s">
        <v>11</v>
      </c>
      <c r="M36" s="22" t="s">
        <v>2519</v>
      </c>
      <c r="N36" s="22" t="s">
        <v>2520</v>
      </c>
      <c r="P36" s="6" t="s">
        <v>10</v>
      </c>
      <c r="Q36" s="6" t="s">
        <v>11</v>
      </c>
      <c r="R36" s="6" t="s">
        <v>2519</v>
      </c>
      <c r="T36" s="6" t="s">
        <v>10</v>
      </c>
      <c r="U36" s="6" t="s">
        <v>11</v>
      </c>
      <c r="V36" s="6" t="s">
        <v>2520</v>
      </c>
    </row>
    <row r="37" spans="1:22" x14ac:dyDescent="0.35">
      <c r="A37" s="8" t="s">
        <v>2528</v>
      </c>
      <c r="C37" t="s">
        <v>27</v>
      </c>
      <c r="D37" t="s">
        <v>23</v>
      </c>
      <c r="E37" t="s">
        <v>89</v>
      </c>
      <c r="F37" t="s">
        <v>2529</v>
      </c>
      <c r="H37" s="9"/>
      <c r="I37" s="19">
        <v>736</v>
      </c>
      <c r="K37" t="s">
        <v>19</v>
      </c>
      <c r="L37" t="s">
        <v>115</v>
      </c>
      <c r="M37" s="22">
        <v>579</v>
      </c>
      <c r="N37" s="22">
        <v>31884.999999999996</v>
      </c>
      <c r="P37" s="20" t="s">
        <v>19</v>
      </c>
      <c r="Q37" t="s">
        <v>115</v>
      </c>
      <c r="R37">
        <v>579</v>
      </c>
      <c r="T37" s="20" t="s">
        <v>19</v>
      </c>
      <c r="U37" t="s">
        <v>115</v>
      </c>
      <c r="V37">
        <v>31884.999999999996</v>
      </c>
    </row>
    <row r="38" spans="1:22" x14ac:dyDescent="0.35">
      <c r="A38" s="9" t="s">
        <v>44</v>
      </c>
      <c r="B38" s="22">
        <v>98</v>
      </c>
      <c r="C38" s="22">
        <v>744</v>
      </c>
      <c r="D38" s="22">
        <v>713</v>
      </c>
      <c r="E38" s="22">
        <v>90</v>
      </c>
      <c r="F38" s="22">
        <v>1645</v>
      </c>
      <c r="H38" s="9" t="s">
        <v>27</v>
      </c>
      <c r="I38" s="19">
        <v>6272</v>
      </c>
      <c r="K38" t="s">
        <v>19</v>
      </c>
      <c r="L38" t="s">
        <v>20</v>
      </c>
      <c r="M38" s="22">
        <v>1</v>
      </c>
      <c r="N38" s="22">
        <v>10.9</v>
      </c>
      <c r="P38" s="20" t="s">
        <v>19</v>
      </c>
      <c r="Q38" t="s">
        <v>20</v>
      </c>
      <c r="R38">
        <v>1</v>
      </c>
      <c r="T38" s="20" t="s">
        <v>19</v>
      </c>
      <c r="U38" t="s">
        <v>20</v>
      </c>
      <c r="V38">
        <v>10.9</v>
      </c>
    </row>
    <row r="39" spans="1:22" x14ac:dyDescent="0.35">
      <c r="A39" s="9" t="s">
        <v>39</v>
      </c>
      <c r="B39" s="22">
        <v>214</v>
      </c>
      <c r="C39" s="22">
        <v>716</v>
      </c>
      <c r="D39" s="22">
        <v>598</v>
      </c>
      <c r="E39" s="22">
        <v>18</v>
      </c>
      <c r="F39" s="22">
        <v>1546</v>
      </c>
      <c r="H39" s="9" t="s">
        <v>23</v>
      </c>
      <c r="I39" s="19">
        <v>4672</v>
      </c>
      <c r="K39" t="s">
        <v>19</v>
      </c>
      <c r="L39" t="s">
        <v>641</v>
      </c>
      <c r="M39" s="22">
        <v>9</v>
      </c>
      <c r="N39" s="22">
        <v>800.3</v>
      </c>
      <c r="P39" s="20" t="s">
        <v>19</v>
      </c>
      <c r="Q39" t="s">
        <v>641</v>
      </c>
      <c r="R39">
        <v>9</v>
      </c>
      <c r="T39" s="20" t="s">
        <v>19</v>
      </c>
      <c r="U39" t="s">
        <v>641</v>
      </c>
      <c r="V39">
        <v>800.3</v>
      </c>
    </row>
    <row r="40" spans="1:22" x14ac:dyDescent="0.35">
      <c r="A40" s="9" t="s">
        <v>26</v>
      </c>
      <c r="B40" s="22">
        <v>137</v>
      </c>
      <c r="C40" s="22">
        <v>627</v>
      </c>
      <c r="D40" s="22">
        <v>393</v>
      </c>
      <c r="E40" s="22">
        <v>29</v>
      </c>
      <c r="F40" s="22">
        <v>1186</v>
      </c>
      <c r="H40" s="9" t="s">
        <v>89</v>
      </c>
      <c r="I40" s="19">
        <v>317</v>
      </c>
      <c r="K40" t="s">
        <v>19</v>
      </c>
      <c r="L40" t="s">
        <v>967</v>
      </c>
      <c r="M40" s="22">
        <v>35</v>
      </c>
      <c r="N40" s="22">
        <v>1062.5999999999999</v>
      </c>
      <c r="P40" s="20" t="s">
        <v>19</v>
      </c>
      <c r="Q40" t="s">
        <v>967</v>
      </c>
      <c r="R40">
        <v>35</v>
      </c>
      <c r="T40" s="20" t="s">
        <v>19</v>
      </c>
      <c r="U40" t="s">
        <v>967</v>
      </c>
      <c r="V40">
        <v>1062.5999999999999</v>
      </c>
    </row>
    <row r="41" spans="1:22" x14ac:dyDescent="0.35">
      <c r="A41" s="9" t="s">
        <v>22</v>
      </c>
      <c r="B41" s="22">
        <v>16</v>
      </c>
      <c r="C41" s="22">
        <v>568</v>
      </c>
      <c r="D41" s="22">
        <v>306</v>
      </c>
      <c r="E41" s="22">
        <v>22</v>
      </c>
      <c r="F41" s="22">
        <v>912</v>
      </c>
      <c r="H41" s="9" t="s">
        <v>2529</v>
      </c>
      <c r="I41" s="19">
        <v>11997</v>
      </c>
      <c r="K41" t="s">
        <v>19</v>
      </c>
      <c r="L41" t="s">
        <v>84</v>
      </c>
      <c r="M41" s="22">
        <v>12</v>
      </c>
      <c r="N41" s="22">
        <v>326.20000000000005</v>
      </c>
      <c r="P41" s="20" t="s">
        <v>19</v>
      </c>
      <c r="Q41" t="s">
        <v>84</v>
      </c>
      <c r="R41">
        <v>12</v>
      </c>
      <c r="T41" s="20" t="s">
        <v>19</v>
      </c>
      <c r="U41" t="s">
        <v>84</v>
      </c>
      <c r="V41">
        <v>326.20000000000005</v>
      </c>
    </row>
    <row r="42" spans="1:22" x14ac:dyDescent="0.35">
      <c r="A42" s="9" t="s">
        <v>54</v>
      </c>
      <c r="B42" s="22">
        <v>22</v>
      </c>
      <c r="C42" s="22">
        <v>482</v>
      </c>
      <c r="D42" s="22">
        <v>295</v>
      </c>
      <c r="E42" s="22">
        <v>8</v>
      </c>
      <c r="F42" s="22">
        <v>807</v>
      </c>
      <c r="K42" t="s">
        <v>19</v>
      </c>
      <c r="L42" t="s">
        <v>1383</v>
      </c>
      <c r="M42" s="22">
        <v>4</v>
      </c>
      <c r="N42" s="22">
        <v>167.5</v>
      </c>
      <c r="P42" s="20" t="s">
        <v>19</v>
      </c>
      <c r="Q42" t="s">
        <v>1383</v>
      </c>
      <c r="R42">
        <v>4</v>
      </c>
      <c r="T42" s="20" t="s">
        <v>19</v>
      </c>
      <c r="U42" t="s">
        <v>1383</v>
      </c>
      <c r="V42">
        <v>167.5</v>
      </c>
    </row>
    <row r="43" spans="1:22" x14ac:dyDescent="0.35">
      <c r="A43" s="9" t="s">
        <v>16</v>
      </c>
      <c r="B43" s="22">
        <v>24</v>
      </c>
      <c r="C43" s="22">
        <v>428</v>
      </c>
      <c r="D43" s="22">
        <v>293</v>
      </c>
      <c r="E43" s="22"/>
      <c r="F43" s="22">
        <v>745</v>
      </c>
      <c r="K43" t="s">
        <v>19</v>
      </c>
      <c r="L43" t="s">
        <v>24</v>
      </c>
      <c r="M43" s="22">
        <v>341</v>
      </c>
      <c r="N43" s="22">
        <v>16168.7</v>
      </c>
      <c r="P43" s="20" t="s">
        <v>19</v>
      </c>
      <c r="Q43" t="s">
        <v>24</v>
      </c>
      <c r="R43">
        <v>341</v>
      </c>
      <c r="T43" s="20" t="s">
        <v>19</v>
      </c>
      <c r="U43" t="s">
        <v>24</v>
      </c>
      <c r="V43">
        <v>16168.7</v>
      </c>
    </row>
    <row r="44" spans="1:22" x14ac:dyDescent="0.35">
      <c r="A44" s="9" t="s">
        <v>46</v>
      </c>
      <c r="B44" s="22">
        <v>39</v>
      </c>
      <c r="C44" s="22">
        <v>445</v>
      </c>
      <c r="D44" s="22">
        <v>202</v>
      </c>
      <c r="E44" s="22">
        <v>14</v>
      </c>
      <c r="F44" s="22">
        <v>700</v>
      </c>
      <c r="K44" t="s">
        <v>19</v>
      </c>
      <c r="L44" t="s">
        <v>2204</v>
      </c>
      <c r="M44" s="22">
        <v>13</v>
      </c>
      <c r="N44" s="22">
        <v>322.40000000000003</v>
      </c>
      <c r="P44" s="20" t="s">
        <v>19</v>
      </c>
      <c r="Q44" t="s">
        <v>2204</v>
      </c>
      <c r="R44">
        <v>13</v>
      </c>
      <c r="T44" s="20" t="s">
        <v>19</v>
      </c>
      <c r="U44" t="s">
        <v>2204</v>
      </c>
      <c r="V44">
        <v>322.40000000000003</v>
      </c>
    </row>
    <row r="45" spans="1:22" x14ac:dyDescent="0.35">
      <c r="A45" s="9" t="s">
        <v>32</v>
      </c>
      <c r="B45" s="22">
        <v>15</v>
      </c>
      <c r="C45" s="22">
        <v>431</v>
      </c>
      <c r="D45" s="22">
        <v>187</v>
      </c>
      <c r="E45" s="22">
        <v>14</v>
      </c>
      <c r="F45" s="22">
        <v>647</v>
      </c>
      <c r="K45" t="s">
        <v>19</v>
      </c>
      <c r="L45" t="s">
        <v>437</v>
      </c>
      <c r="M45" s="22">
        <v>31</v>
      </c>
      <c r="N45" s="22">
        <v>2092.8000000000002</v>
      </c>
      <c r="P45" s="20" t="s">
        <v>19</v>
      </c>
      <c r="Q45" t="s">
        <v>437</v>
      </c>
      <c r="R45">
        <v>31</v>
      </c>
      <c r="T45" s="20" t="s">
        <v>19</v>
      </c>
      <c r="U45" t="s">
        <v>437</v>
      </c>
      <c r="V45">
        <v>2092.8000000000002</v>
      </c>
    </row>
    <row r="46" spans="1:22" x14ac:dyDescent="0.35">
      <c r="A46" s="9" t="s">
        <v>42</v>
      </c>
      <c r="B46" s="22">
        <v>9</v>
      </c>
      <c r="C46" s="22">
        <v>264</v>
      </c>
      <c r="D46" s="22">
        <v>318</v>
      </c>
      <c r="E46" s="22">
        <v>15</v>
      </c>
      <c r="F46" s="22">
        <v>606</v>
      </c>
      <c r="K46" t="s">
        <v>19</v>
      </c>
      <c r="L46" t="s">
        <v>28</v>
      </c>
      <c r="M46" s="22">
        <v>279</v>
      </c>
      <c r="N46" s="22">
        <v>12662.500000000002</v>
      </c>
      <c r="P46" s="20" t="s">
        <v>19</v>
      </c>
      <c r="Q46" t="s">
        <v>28</v>
      </c>
      <c r="R46">
        <v>279</v>
      </c>
      <c r="T46" s="20" t="s">
        <v>19</v>
      </c>
      <c r="U46" t="s">
        <v>28</v>
      </c>
      <c r="V46">
        <v>12662.500000000002</v>
      </c>
    </row>
    <row r="47" spans="1:22" x14ac:dyDescent="0.35">
      <c r="A47" s="9" t="s">
        <v>37</v>
      </c>
      <c r="B47" s="22">
        <v>23</v>
      </c>
      <c r="C47" s="22">
        <v>296</v>
      </c>
      <c r="D47" s="22">
        <v>275</v>
      </c>
      <c r="E47" s="22">
        <v>9</v>
      </c>
      <c r="F47" s="22">
        <v>603</v>
      </c>
      <c r="K47" t="s">
        <v>19</v>
      </c>
      <c r="L47" t="s">
        <v>208</v>
      </c>
      <c r="M47" s="22">
        <v>9</v>
      </c>
      <c r="N47" s="22">
        <v>343.2</v>
      </c>
      <c r="P47" s="20" t="s">
        <v>19</v>
      </c>
      <c r="Q47" t="s">
        <v>208</v>
      </c>
      <c r="R47">
        <v>9</v>
      </c>
      <c r="T47" s="20" t="s">
        <v>19</v>
      </c>
      <c r="U47" t="s">
        <v>208</v>
      </c>
      <c r="V47">
        <v>343.2</v>
      </c>
    </row>
    <row r="48" spans="1:22" x14ac:dyDescent="0.35">
      <c r="A48" s="9" t="s">
        <v>123</v>
      </c>
      <c r="B48" s="22">
        <v>8</v>
      </c>
      <c r="C48" s="22">
        <v>153</v>
      </c>
      <c r="D48" s="22">
        <v>246</v>
      </c>
      <c r="E48" s="22">
        <v>30</v>
      </c>
      <c r="F48" s="22">
        <v>437</v>
      </c>
      <c r="K48" t="s">
        <v>19</v>
      </c>
      <c r="L48" t="s">
        <v>587</v>
      </c>
      <c r="M48" s="22">
        <v>49</v>
      </c>
      <c r="N48" s="22">
        <v>2188.2999999999997</v>
      </c>
      <c r="P48" s="20" t="s">
        <v>19</v>
      </c>
      <c r="Q48" t="s">
        <v>587</v>
      </c>
      <c r="R48">
        <v>49</v>
      </c>
      <c r="T48" s="20" t="s">
        <v>19</v>
      </c>
      <c r="U48" t="s">
        <v>587</v>
      </c>
      <c r="V48">
        <v>2188.2999999999997</v>
      </c>
    </row>
    <row r="49" spans="1:22" x14ac:dyDescent="0.35">
      <c r="A49" s="9" t="s">
        <v>146</v>
      </c>
      <c r="B49" s="22">
        <v>31</v>
      </c>
      <c r="C49" s="22">
        <v>189</v>
      </c>
      <c r="D49" s="22">
        <v>168</v>
      </c>
      <c r="E49" s="22">
        <v>10</v>
      </c>
      <c r="F49" s="22">
        <v>398</v>
      </c>
      <c r="K49" t="s">
        <v>19</v>
      </c>
      <c r="L49" t="s">
        <v>331</v>
      </c>
      <c r="M49" s="22">
        <v>59</v>
      </c>
      <c r="N49" s="22">
        <v>2661.5999999999995</v>
      </c>
      <c r="P49" s="20" t="s">
        <v>19</v>
      </c>
      <c r="Q49" t="s">
        <v>331</v>
      </c>
      <c r="R49">
        <v>59</v>
      </c>
      <c r="T49" s="20" t="s">
        <v>19</v>
      </c>
      <c r="U49" t="s">
        <v>331</v>
      </c>
      <c r="V49">
        <v>2661.5999999999995</v>
      </c>
    </row>
    <row r="50" spans="1:22" x14ac:dyDescent="0.35">
      <c r="A50" s="9" t="s">
        <v>69</v>
      </c>
      <c r="B50" s="22">
        <v>24</v>
      </c>
      <c r="C50" s="22">
        <v>234</v>
      </c>
      <c r="D50" s="22">
        <v>93</v>
      </c>
      <c r="E50" s="22">
        <v>19</v>
      </c>
      <c r="F50" s="22">
        <v>370</v>
      </c>
      <c r="K50" t="s">
        <v>19</v>
      </c>
      <c r="L50" t="s">
        <v>86</v>
      </c>
      <c r="M50" s="22">
        <v>8</v>
      </c>
      <c r="N50" s="22">
        <v>887.5</v>
      </c>
      <c r="P50" s="20" t="s">
        <v>19</v>
      </c>
      <c r="Q50" t="s">
        <v>86</v>
      </c>
      <c r="R50">
        <v>8</v>
      </c>
      <c r="T50" s="20" t="s">
        <v>19</v>
      </c>
      <c r="U50" t="s">
        <v>86</v>
      </c>
      <c r="V50">
        <v>887.5</v>
      </c>
    </row>
    <row r="51" spans="1:22" x14ac:dyDescent="0.35">
      <c r="A51" s="9" t="s">
        <v>30</v>
      </c>
      <c r="B51" s="22">
        <v>28</v>
      </c>
      <c r="C51" s="22">
        <v>146</v>
      </c>
      <c r="D51" s="22">
        <v>94</v>
      </c>
      <c r="E51" s="22">
        <v>4</v>
      </c>
      <c r="F51" s="22">
        <v>272</v>
      </c>
      <c r="K51" t="s">
        <v>19</v>
      </c>
      <c r="L51" t="s">
        <v>147</v>
      </c>
      <c r="M51" s="22">
        <v>222</v>
      </c>
      <c r="N51" s="22">
        <v>11354.199999999993</v>
      </c>
      <c r="P51" s="20" t="s">
        <v>19</v>
      </c>
      <c r="Q51" t="s">
        <v>147</v>
      </c>
      <c r="R51">
        <v>222</v>
      </c>
      <c r="T51" s="20" t="s">
        <v>19</v>
      </c>
      <c r="U51" t="s">
        <v>147</v>
      </c>
      <c r="V51">
        <v>11354.199999999993</v>
      </c>
    </row>
    <row r="52" spans="1:22" x14ac:dyDescent="0.35">
      <c r="A52" s="9" t="s">
        <v>135</v>
      </c>
      <c r="B52" s="22">
        <v>12</v>
      </c>
      <c r="C52" s="22">
        <v>127</v>
      </c>
      <c r="D52" s="22">
        <v>118</v>
      </c>
      <c r="E52" s="22">
        <v>13</v>
      </c>
      <c r="F52" s="22">
        <v>270</v>
      </c>
      <c r="K52" t="s">
        <v>19</v>
      </c>
      <c r="L52" t="s">
        <v>334</v>
      </c>
      <c r="M52" s="22">
        <v>36</v>
      </c>
      <c r="N52" s="22">
        <v>1558.4</v>
      </c>
      <c r="P52" s="20" t="s">
        <v>19</v>
      </c>
      <c r="Q52" t="s">
        <v>334</v>
      </c>
      <c r="R52">
        <v>36</v>
      </c>
      <c r="T52" s="20" t="s">
        <v>19</v>
      </c>
      <c r="U52" t="s">
        <v>334</v>
      </c>
      <c r="V52">
        <v>1558.4</v>
      </c>
    </row>
    <row r="53" spans="1:22" x14ac:dyDescent="0.35">
      <c r="A53" s="9" t="s">
        <v>67</v>
      </c>
      <c r="B53" s="22"/>
      <c r="C53" s="22">
        <v>179</v>
      </c>
      <c r="D53" s="22">
        <v>76</v>
      </c>
      <c r="E53" s="22">
        <v>3</v>
      </c>
      <c r="F53" s="22">
        <v>258</v>
      </c>
      <c r="K53" t="s">
        <v>19</v>
      </c>
      <c r="L53" t="s">
        <v>949</v>
      </c>
      <c r="M53" s="22">
        <v>30</v>
      </c>
      <c r="N53" s="22">
        <v>2223.9</v>
      </c>
      <c r="P53" s="20" t="s">
        <v>19</v>
      </c>
      <c r="Q53" t="s">
        <v>949</v>
      </c>
      <c r="R53">
        <v>30</v>
      </c>
      <c r="T53" s="20" t="s">
        <v>19</v>
      </c>
      <c r="U53" t="s">
        <v>949</v>
      </c>
      <c r="V53">
        <v>2223.9</v>
      </c>
    </row>
    <row r="54" spans="1:22" x14ac:dyDescent="0.35">
      <c r="A54" s="9" t="s">
        <v>128</v>
      </c>
      <c r="B54" s="22">
        <v>24</v>
      </c>
      <c r="C54" s="22">
        <v>99</v>
      </c>
      <c r="D54" s="22">
        <v>69</v>
      </c>
      <c r="E54" s="22">
        <v>3</v>
      </c>
      <c r="F54" s="22">
        <v>195</v>
      </c>
      <c r="K54" t="s">
        <v>19</v>
      </c>
      <c r="L54" t="s">
        <v>1426</v>
      </c>
      <c r="M54" s="22">
        <v>1</v>
      </c>
      <c r="N54" s="22">
        <v>26.2</v>
      </c>
      <c r="P54" s="20" t="s">
        <v>19</v>
      </c>
      <c r="Q54" t="s">
        <v>1426</v>
      </c>
      <c r="R54">
        <v>1</v>
      </c>
      <c r="T54" s="20" t="s">
        <v>19</v>
      </c>
      <c r="U54" t="s">
        <v>1426</v>
      </c>
      <c r="V54">
        <v>26.2</v>
      </c>
    </row>
    <row r="55" spans="1:22" x14ac:dyDescent="0.35">
      <c r="A55" s="9" t="s">
        <v>76</v>
      </c>
      <c r="B55" s="22">
        <v>6</v>
      </c>
      <c r="C55" s="22">
        <v>75</v>
      </c>
      <c r="D55" s="22">
        <v>103</v>
      </c>
      <c r="E55" s="22">
        <v>4</v>
      </c>
      <c r="F55" s="22">
        <v>188</v>
      </c>
      <c r="K55" t="s">
        <v>19</v>
      </c>
      <c r="L55" t="s">
        <v>33</v>
      </c>
      <c r="M55" s="22">
        <v>3991</v>
      </c>
      <c r="N55" s="22">
        <v>215551.19999999981</v>
      </c>
      <c r="P55" s="20" t="s">
        <v>19</v>
      </c>
      <c r="Q55" t="s">
        <v>33</v>
      </c>
      <c r="R55">
        <v>3991</v>
      </c>
      <c r="T55" s="20" t="s">
        <v>19</v>
      </c>
      <c r="U55" t="s">
        <v>33</v>
      </c>
      <c r="V55">
        <v>215551.19999999981</v>
      </c>
    </row>
    <row r="56" spans="1:22" x14ac:dyDescent="0.35">
      <c r="A56" s="9" t="s">
        <v>81</v>
      </c>
      <c r="B56" s="22">
        <v>6</v>
      </c>
      <c r="C56" s="22">
        <v>43</v>
      </c>
      <c r="D56" s="22">
        <v>90</v>
      </c>
      <c r="E56" s="22">
        <v>8</v>
      </c>
      <c r="F56" s="22">
        <v>147</v>
      </c>
      <c r="K56" t="s">
        <v>19</v>
      </c>
      <c r="L56" t="s">
        <v>364</v>
      </c>
      <c r="M56" s="22">
        <v>45</v>
      </c>
      <c r="N56" s="22">
        <v>2687.3999999999996</v>
      </c>
      <c r="P56" s="20" t="s">
        <v>19</v>
      </c>
      <c r="Q56" t="s">
        <v>364</v>
      </c>
      <c r="R56">
        <v>45</v>
      </c>
      <c r="T56" s="20" t="s">
        <v>19</v>
      </c>
      <c r="U56" t="s">
        <v>364</v>
      </c>
      <c r="V56">
        <v>2687.3999999999996</v>
      </c>
    </row>
    <row r="57" spans="1:22" x14ac:dyDescent="0.35">
      <c r="A57" s="9" t="s">
        <v>171</v>
      </c>
      <c r="B57" s="22"/>
      <c r="C57" s="22">
        <v>26</v>
      </c>
      <c r="D57" s="22">
        <v>35</v>
      </c>
      <c r="E57" s="22">
        <v>4</v>
      </c>
      <c r="F57" s="22">
        <v>65</v>
      </c>
      <c r="K57" t="s">
        <v>19</v>
      </c>
      <c r="L57" t="s">
        <v>545</v>
      </c>
      <c r="M57" s="22">
        <v>39</v>
      </c>
      <c r="N57" s="22">
        <v>1463.3000000000002</v>
      </c>
      <c r="P57" s="20" t="s">
        <v>19</v>
      </c>
      <c r="Q57" t="s">
        <v>545</v>
      </c>
      <c r="R57">
        <v>39</v>
      </c>
      <c r="T57" s="20" t="s">
        <v>19</v>
      </c>
      <c r="U57" t="s">
        <v>545</v>
      </c>
      <c r="V57">
        <v>1463.3000000000002</v>
      </c>
    </row>
    <row r="58" spans="1:22" x14ac:dyDescent="0.35">
      <c r="A58" s="9" t="s">
        <v>2529</v>
      </c>
      <c r="B58" s="22">
        <v>736</v>
      </c>
      <c r="C58" s="22">
        <v>6272</v>
      </c>
      <c r="D58" s="22">
        <v>4672</v>
      </c>
      <c r="E58" s="22">
        <v>317</v>
      </c>
      <c r="F58" s="22">
        <v>11997</v>
      </c>
      <c r="K58" t="s">
        <v>19</v>
      </c>
      <c r="L58" t="s">
        <v>416</v>
      </c>
      <c r="M58" s="22">
        <v>6</v>
      </c>
      <c r="N58" s="22">
        <v>445.79999999999995</v>
      </c>
      <c r="P58" s="20" t="s">
        <v>19</v>
      </c>
      <c r="Q58" t="s">
        <v>416</v>
      </c>
      <c r="R58">
        <v>6</v>
      </c>
      <c r="T58" s="20" t="s">
        <v>19</v>
      </c>
      <c r="U58" t="s">
        <v>416</v>
      </c>
      <c r="V58">
        <v>445.79999999999995</v>
      </c>
    </row>
    <row r="59" spans="1:22" x14ac:dyDescent="0.35">
      <c r="K59" t="s">
        <v>19</v>
      </c>
      <c r="L59" t="s">
        <v>258</v>
      </c>
      <c r="M59" s="22">
        <v>9</v>
      </c>
      <c r="N59" s="22">
        <v>273.59999999999997</v>
      </c>
      <c r="P59" s="20" t="s">
        <v>19</v>
      </c>
      <c r="Q59" t="s">
        <v>258</v>
      </c>
      <c r="R59">
        <v>9</v>
      </c>
      <c r="T59" s="20" t="s">
        <v>19</v>
      </c>
      <c r="U59" t="s">
        <v>258</v>
      </c>
      <c r="V59">
        <v>273.59999999999997</v>
      </c>
    </row>
    <row r="60" spans="1:22" x14ac:dyDescent="0.35">
      <c r="K60" t="s">
        <v>19</v>
      </c>
      <c r="L60" t="s">
        <v>186</v>
      </c>
      <c r="M60" s="22">
        <v>60</v>
      </c>
      <c r="N60" s="22">
        <v>2690.4</v>
      </c>
      <c r="P60" s="20" t="s">
        <v>19</v>
      </c>
      <c r="Q60" t="s">
        <v>186</v>
      </c>
      <c r="R60">
        <v>60</v>
      </c>
      <c r="T60" s="20" t="s">
        <v>19</v>
      </c>
      <c r="U60" t="s">
        <v>186</v>
      </c>
      <c r="V60">
        <v>2690.4</v>
      </c>
    </row>
    <row r="61" spans="1:22" x14ac:dyDescent="0.35">
      <c r="K61" t="s">
        <v>19</v>
      </c>
      <c r="L61" t="s">
        <v>392</v>
      </c>
      <c r="M61" s="22">
        <v>2</v>
      </c>
      <c r="N61" s="22">
        <v>28.4</v>
      </c>
      <c r="P61" s="20" t="s">
        <v>19</v>
      </c>
      <c r="Q61" t="s">
        <v>392</v>
      </c>
      <c r="R61">
        <v>2</v>
      </c>
      <c r="T61" s="20" t="s">
        <v>19</v>
      </c>
      <c r="U61" t="s">
        <v>392</v>
      </c>
      <c r="V61">
        <v>28.4</v>
      </c>
    </row>
    <row r="62" spans="1:22" x14ac:dyDescent="0.35">
      <c r="A62" s="8" t="s">
        <v>2528</v>
      </c>
      <c r="B62" t="s">
        <v>2518</v>
      </c>
      <c r="K62" t="s">
        <v>19</v>
      </c>
      <c r="L62" t="s">
        <v>670</v>
      </c>
      <c r="M62" s="22">
        <v>4</v>
      </c>
      <c r="N62" s="22">
        <v>204.8</v>
      </c>
      <c r="P62" s="20" t="s">
        <v>19</v>
      </c>
      <c r="Q62" t="s">
        <v>670</v>
      </c>
      <c r="R62">
        <v>4</v>
      </c>
      <c r="T62" s="20" t="s">
        <v>19</v>
      </c>
      <c r="U62" t="s">
        <v>670</v>
      </c>
      <c r="V62">
        <v>204.8</v>
      </c>
    </row>
    <row r="63" spans="1:22" x14ac:dyDescent="0.35">
      <c r="A63" s="9">
        <v>0</v>
      </c>
      <c r="B63" s="22">
        <v>175</v>
      </c>
      <c r="K63" t="s">
        <v>19</v>
      </c>
      <c r="L63" t="s">
        <v>802</v>
      </c>
      <c r="M63" s="22">
        <v>31</v>
      </c>
      <c r="N63" s="22">
        <v>1607.8999999999999</v>
      </c>
      <c r="P63" s="20" t="s">
        <v>19</v>
      </c>
      <c r="Q63" t="s">
        <v>802</v>
      </c>
      <c r="R63">
        <v>31</v>
      </c>
      <c r="T63" s="20" t="s">
        <v>19</v>
      </c>
      <c r="U63" t="s">
        <v>802</v>
      </c>
      <c r="V63">
        <v>1607.8999999999999</v>
      </c>
    </row>
    <row r="64" spans="1:22" x14ac:dyDescent="0.35">
      <c r="A64" s="9">
        <v>1</v>
      </c>
      <c r="B64" s="22">
        <v>888</v>
      </c>
      <c r="K64" t="s">
        <v>19</v>
      </c>
      <c r="L64" t="s">
        <v>98</v>
      </c>
      <c r="M64" s="22">
        <v>88</v>
      </c>
      <c r="N64" s="22">
        <v>6444.9</v>
      </c>
      <c r="P64" s="20" t="s">
        <v>19</v>
      </c>
      <c r="Q64" t="s">
        <v>98</v>
      </c>
      <c r="R64">
        <v>88</v>
      </c>
      <c r="T64" s="20" t="s">
        <v>19</v>
      </c>
      <c r="U64" t="s">
        <v>98</v>
      </c>
      <c r="V64">
        <v>6444.9</v>
      </c>
    </row>
    <row r="65" spans="1:22" x14ac:dyDescent="0.35">
      <c r="A65" s="9">
        <v>2</v>
      </c>
      <c r="B65" s="22">
        <v>538</v>
      </c>
      <c r="K65" t="s">
        <v>19</v>
      </c>
      <c r="L65" t="s">
        <v>49</v>
      </c>
      <c r="M65" s="22">
        <v>25</v>
      </c>
      <c r="N65" s="22">
        <v>1809.3</v>
      </c>
      <c r="P65" s="20" t="s">
        <v>19</v>
      </c>
      <c r="Q65" t="s">
        <v>49</v>
      </c>
      <c r="R65">
        <v>25</v>
      </c>
      <c r="T65" s="20" t="s">
        <v>19</v>
      </c>
      <c r="U65" t="s">
        <v>49</v>
      </c>
      <c r="V65">
        <v>1809.3</v>
      </c>
    </row>
    <row r="66" spans="1:22" x14ac:dyDescent="0.35">
      <c r="A66" s="9">
        <v>3</v>
      </c>
      <c r="B66" s="22">
        <v>344</v>
      </c>
      <c r="K66" t="s">
        <v>19</v>
      </c>
      <c r="L66" t="s">
        <v>188</v>
      </c>
      <c r="M66" s="22">
        <v>178</v>
      </c>
      <c r="N66" s="22">
        <v>9680.399999999996</v>
      </c>
      <c r="P66" s="20" t="s">
        <v>19</v>
      </c>
      <c r="Q66" t="s">
        <v>188</v>
      </c>
      <c r="R66">
        <v>178</v>
      </c>
      <c r="T66" s="20" t="s">
        <v>19</v>
      </c>
      <c r="U66" t="s">
        <v>188</v>
      </c>
      <c r="V66">
        <v>9680.399999999996</v>
      </c>
    </row>
    <row r="67" spans="1:22" x14ac:dyDescent="0.35">
      <c r="A67" s="9">
        <v>4</v>
      </c>
      <c r="B67" s="22">
        <v>200</v>
      </c>
      <c r="K67" t="s">
        <v>19</v>
      </c>
      <c r="L67" t="s">
        <v>52</v>
      </c>
      <c r="M67" s="22">
        <v>141</v>
      </c>
      <c r="N67" s="22">
        <v>9414.7999999999993</v>
      </c>
      <c r="P67" s="20" t="s">
        <v>19</v>
      </c>
      <c r="Q67" t="s">
        <v>52</v>
      </c>
      <c r="R67">
        <v>141</v>
      </c>
      <c r="T67" s="20" t="s">
        <v>19</v>
      </c>
      <c r="U67" t="s">
        <v>52</v>
      </c>
      <c r="V67">
        <v>9414.7999999999993</v>
      </c>
    </row>
    <row r="68" spans="1:22" x14ac:dyDescent="0.35">
      <c r="A68" s="9">
        <v>5</v>
      </c>
      <c r="B68" s="22">
        <v>94</v>
      </c>
      <c r="K68" t="s">
        <v>19</v>
      </c>
      <c r="L68" t="s">
        <v>338</v>
      </c>
      <c r="M68" s="22">
        <v>6</v>
      </c>
      <c r="N68" s="22">
        <v>206.1</v>
      </c>
      <c r="P68" s="20" t="s">
        <v>19</v>
      </c>
      <c r="Q68" t="s">
        <v>338</v>
      </c>
      <c r="R68">
        <v>6</v>
      </c>
      <c r="T68" s="20" t="s">
        <v>19</v>
      </c>
      <c r="U68" t="s">
        <v>338</v>
      </c>
      <c r="V68">
        <v>206.1</v>
      </c>
    </row>
    <row r="69" spans="1:22" x14ac:dyDescent="0.35">
      <c r="A69" s="9">
        <v>6</v>
      </c>
      <c r="B69" s="22">
        <v>51</v>
      </c>
      <c r="K69" t="s">
        <v>19</v>
      </c>
      <c r="L69" t="s">
        <v>158</v>
      </c>
      <c r="M69" s="22">
        <v>178</v>
      </c>
      <c r="N69" s="22">
        <v>7691.3</v>
      </c>
      <c r="P69" s="20" t="s">
        <v>19</v>
      </c>
      <c r="Q69" t="s">
        <v>158</v>
      </c>
      <c r="R69">
        <v>178</v>
      </c>
      <c r="T69" s="20" t="s">
        <v>19</v>
      </c>
      <c r="U69" t="s">
        <v>158</v>
      </c>
      <c r="V69">
        <v>7691.3</v>
      </c>
    </row>
    <row r="70" spans="1:22" x14ac:dyDescent="0.35">
      <c r="A70" s="9">
        <v>7</v>
      </c>
      <c r="B70" s="22">
        <v>32</v>
      </c>
      <c r="K70" t="s">
        <v>19</v>
      </c>
      <c r="L70" t="s">
        <v>55</v>
      </c>
      <c r="M70" s="22">
        <v>699</v>
      </c>
      <c r="N70" s="22">
        <v>37784.900000000016</v>
      </c>
      <c r="P70" s="20" t="s">
        <v>19</v>
      </c>
      <c r="Q70" t="s">
        <v>55</v>
      </c>
      <c r="R70">
        <v>699</v>
      </c>
      <c r="T70" s="20" t="s">
        <v>19</v>
      </c>
      <c r="U70" t="s">
        <v>55</v>
      </c>
      <c r="V70">
        <v>37784.900000000016</v>
      </c>
    </row>
    <row r="71" spans="1:22" x14ac:dyDescent="0.35">
      <c r="A71" s="9">
        <v>8</v>
      </c>
      <c r="B71" s="22">
        <v>23</v>
      </c>
      <c r="K71" t="s">
        <v>19</v>
      </c>
      <c r="L71" t="s">
        <v>342</v>
      </c>
      <c r="M71" s="22">
        <v>23</v>
      </c>
      <c r="N71" s="22">
        <v>1129.7</v>
      </c>
      <c r="P71" s="20" t="s">
        <v>19</v>
      </c>
      <c r="Q71" t="s">
        <v>342</v>
      </c>
      <c r="R71">
        <v>23</v>
      </c>
      <c r="T71" s="20" t="s">
        <v>19</v>
      </c>
      <c r="U71" t="s">
        <v>342</v>
      </c>
      <c r="V71">
        <v>1129.7</v>
      </c>
    </row>
    <row r="72" spans="1:22" x14ac:dyDescent="0.35">
      <c r="A72" s="9">
        <v>9</v>
      </c>
      <c r="B72" s="22">
        <v>9</v>
      </c>
      <c r="K72" t="s">
        <v>19</v>
      </c>
      <c r="L72" t="s">
        <v>59</v>
      </c>
      <c r="M72" s="22">
        <v>356</v>
      </c>
      <c r="N72" s="22">
        <v>20988.9</v>
      </c>
      <c r="P72" s="20" t="s">
        <v>19</v>
      </c>
      <c r="Q72" t="s">
        <v>59</v>
      </c>
      <c r="R72">
        <v>356</v>
      </c>
      <c r="T72" s="20" t="s">
        <v>19</v>
      </c>
      <c r="U72" t="s">
        <v>59</v>
      </c>
      <c r="V72">
        <v>20988.9</v>
      </c>
    </row>
    <row r="73" spans="1:22" x14ac:dyDescent="0.35">
      <c r="A73" s="9">
        <v>10</v>
      </c>
      <c r="B73" s="22">
        <v>8</v>
      </c>
      <c r="K73" t="s">
        <v>19</v>
      </c>
      <c r="L73" t="s">
        <v>62</v>
      </c>
      <c r="M73" s="22">
        <v>1768</v>
      </c>
      <c r="N73" s="22">
        <v>98367.099999999977</v>
      </c>
      <c r="P73" s="20" t="s">
        <v>19</v>
      </c>
      <c r="Q73" t="s">
        <v>62</v>
      </c>
      <c r="R73">
        <v>1768</v>
      </c>
      <c r="T73" s="20" t="s">
        <v>19</v>
      </c>
      <c r="U73" t="s">
        <v>62</v>
      </c>
      <c r="V73">
        <v>98367.099999999977</v>
      </c>
    </row>
    <row r="74" spans="1:22" x14ac:dyDescent="0.35">
      <c r="A74" s="9">
        <v>11</v>
      </c>
      <c r="B74" s="22">
        <v>11</v>
      </c>
      <c r="K74" t="s">
        <v>19</v>
      </c>
      <c r="L74" t="s">
        <v>103</v>
      </c>
      <c r="M74" s="22">
        <v>307</v>
      </c>
      <c r="N74" s="22">
        <v>21911.9</v>
      </c>
      <c r="P74" s="20" t="s">
        <v>19</v>
      </c>
      <c r="Q74" t="s">
        <v>103</v>
      </c>
      <c r="R74">
        <v>307</v>
      </c>
      <c r="T74" s="20" t="s">
        <v>19</v>
      </c>
      <c r="U74" t="s">
        <v>103</v>
      </c>
      <c r="V74">
        <v>21911.9</v>
      </c>
    </row>
    <row r="75" spans="1:22" x14ac:dyDescent="0.35">
      <c r="A75" s="9">
        <v>12</v>
      </c>
      <c r="B75" s="22">
        <v>4</v>
      </c>
      <c r="K75" t="s">
        <v>19</v>
      </c>
      <c r="L75" t="s">
        <v>201</v>
      </c>
      <c r="M75" s="22">
        <v>117</v>
      </c>
      <c r="N75" s="22">
        <v>5441.2</v>
      </c>
      <c r="P75" s="20" t="s">
        <v>19</v>
      </c>
      <c r="Q75" t="s">
        <v>201</v>
      </c>
      <c r="R75">
        <v>117</v>
      </c>
      <c r="T75" s="20" t="s">
        <v>19</v>
      </c>
      <c r="U75" t="s">
        <v>201</v>
      </c>
      <c r="V75">
        <v>5441.2</v>
      </c>
    </row>
    <row r="76" spans="1:22" x14ac:dyDescent="0.35">
      <c r="A76" s="9">
        <v>13</v>
      </c>
      <c r="B76" s="22">
        <v>10</v>
      </c>
      <c r="K76" t="s">
        <v>19</v>
      </c>
      <c r="L76" t="s">
        <v>429</v>
      </c>
      <c r="M76" s="22">
        <v>13</v>
      </c>
      <c r="N76" s="22">
        <v>392.8</v>
      </c>
      <c r="P76" s="20" t="s">
        <v>19</v>
      </c>
      <c r="Q76" t="s">
        <v>429</v>
      </c>
      <c r="R76">
        <v>13</v>
      </c>
      <c r="T76" s="20" t="s">
        <v>19</v>
      </c>
      <c r="U76" t="s">
        <v>429</v>
      </c>
      <c r="V76">
        <v>392.8</v>
      </c>
    </row>
    <row r="77" spans="1:22" x14ac:dyDescent="0.35">
      <c r="A77" s="9">
        <v>14</v>
      </c>
      <c r="B77" s="22">
        <v>13</v>
      </c>
      <c r="K77" t="s">
        <v>19</v>
      </c>
      <c r="L77" t="s">
        <v>72</v>
      </c>
      <c r="M77" s="22">
        <v>364</v>
      </c>
      <c r="N77" s="22">
        <v>16172.000000000005</v>
      </c>
      <c r="P77" s="20" t="s">
        <v>19</v>
      </c>
      <c r="Q77" t="s">
        <v>72</v>
      </c>
      <c r="R77">
        <v>364</v>
      </c>
      <c r="T77" s="20" t="s">
        <v>19</v>
      </c>
      <c r="U77" t="s">
        <v>72</v>
      </c>
      <c r="V77">
        <v>16172.000000000005</v>
      </c>
    </row>
    <row r="78" spans="1:22" x14ac:dyDescent="0.35">
      <c r="A78" s="9" t="s">
        <v>2529</v>
      </c>
      <c r="B78" s="22">
        <v>2400</v>
      </c>
      <c r="K78" t="s">
        <v>19</v>
      </c>
      <c r="L78" t="s">
        <v>74</v>
      </c>
      <c r="M78" s="22">
        <v>95</v>
      </c>
      <c r="N78" s="22">
        <v>4334.9999999999991</v>
      </c>
      <c r="P78" s="20" t="s">
        <v>19</v>
      </c>
      <c r="Q78" t="s">
        <v>74</v>
      </c>
      <c r="R78">
        <v>95</v>
      </c>
      <c r="T78" s="20" t="s">
        <v>19</v>
      </c>
      <c r="U78" t="s">
        <v>74</v>
      </c>
      <c r="V78">
        <v>4334.9999999999991</v>
      </c>
    </row>
    <row r="79" spans="1:22" x14ac:dyDescent="0.35">
      <c r="K79" t="s">
        <v>19</v>
      </c>
      <c r="L79" t="s">
        <v>77</v>
      </c>
      <c r="M79" s="22">
        <v>737</v>
      </c>
      <c r="N79" s="22">
        <v>37449.000000000007</v>
      </c>
      <c r="P79" s="20" t="s">
        <v>19</v>
      </c>
      <c r="Q79" t="s">
        <v>77</v>
      </c>
      <c r="R79">
        <v>737</v>
      </c>
      <c r="T79" s="20" t="s">
        <v>19</v>
      </c>
      <c r="U79" t="s">
        <v>77</v>
      </c>
      <c r="V79">
        <v>37449.000000000007</v>
      </c>
    </row>
    <row r="80" spans="1:22" x14ac:dyDescent="0.35">
      <c r="K80" t="s">
        <v>19</v>
      </c>
      <c r="L80" t="s">
        <v>309</v>
      </c>
      <c r="M80" s="22">
        <v>39</v>
      </c>
      <c r="N80" s="22">
        <v>2447.5</v>
      </c>
      <c r="P80" s="20" t="s">
        <v>19</v>
      </c>
      <c r="Q80" t="s">
        <v>309</v>
      </c>
      <c r="R80">
        <v>39</v>
      </c>
      <c r="T80" s="20" t="s">
        <v>19</v>
      </c>
      <c r="U80" t="s">
        <v>309</v>
      </c>
      <c r="V80">
        <v>2447.5</v>
      </c>
    </row>
    <row r="81" spans="11:22" x14ac:dyDescent="0.35">
      <c r="K81" t="s">
        <v>19</v>
      </c>
      <c r="L81" t="s">
        <v>1116</v>
      </c>
      <c r="M81" s="22">
        <v>56</v>
      </c>
      <c r="N81" s="22">
        <v>3391.1</v>
      </c>
      <c r="P81" s="20" t="s">
        <v>19</v>
      </c>
      <c r="Q81" t="s">
        <v>1116</v>
      </c>
      <c r="R81">
        <v>56</v>
      </c>
      <c r="T81" s="20" t="s">
        <v>19</v>
      </c>
      <c r="U81" t="s">
        <v>1116</v>
      </c>
      <c r="V81">
        <v>3391.1</v>
      </c>
    </row>
    <row r="82" spans="11:22" x14ac:dyDescent="0.35">
      <c r="K82" t="s">
        <v>19</v>
      </c>
      <c r="L82" t="s">
        <v>700</v>
      </c>
      <c r="M82" s="22">
        <v>2</v>
      </c>
      <c r="N82" s="22">
        <v>30.8</v>
      </c>
      <c r="P82" s="20" t="s">
        <v>19</v>
      </c>
      <c r="Q82" t="s">
        <v>700</v>
      </c>
      <c r="R82">
        <v>2</v>
      </c>
      <c r="T82" s="20" t="s">
        <v>19</v>
      </c>
      <c r="U82" t="s">
        <v>700</v>
      </c>
      <c r="V82">
        <v>30.8</v>
      </c>
    </row>
    <row r="83" spans="11:22" x14ac:dyDescent="0.35">
      <c r="K83" t="s">
        <v>19</v>
      </c>
      <c r="L83" t="s">
        <v>268</v>
      </c>
      <c r="M83" s="22">
        <v>8</v>
      </c>
      <c r="N83" s="22">
        <v>332.3</v>
      </c>
      <c r="P83" s="20" t="s">
        <v>19</v>
      </c>
      <c r="Q83" t="s">
        <v>268</v>
      </c>
      <c r="R83">
        <v>8</v>
      </c>
      <c r="T83" s="20" t="s">
        <v>19</v>
      </c>
      <c r="U83" t="s">
        <v>268</v>
      </c>
      <c r="V83">
        <v>332.3</v>
      </c>
    </row>
    <row r="84" spans="11:22" x14ac:dyDescent="0.35">
      <c r="K84" t="s">
        <v>19</v>
      </c>
      <c r="L84" t="s">
        <v>377</v>
      </c>
      <c r="M84" s="22">
        <v>52</v>
      </c>
      <c r="N84" s="22">
        <v>3175.9999999999995</v>
      </c>
      <c r="P84" s="20" t="s">
        <v>19</v>
      </c>
      <c r="Q84" t="s">
        <v>377</v>
      </c>
      <c r="R84">
        <v>52</v>
      </c>
      <c r="T84" s="20" t="s">
        <v>19</v>
      </c>
      <c r="U84" t="s">
        <v>377</v>
      </c>
      <c r="V84">
        <v>3175.9999999999995</v>
      </c>
    </row>
    <row r="85" spans="11:22" x14ac:dyDescent="0.35">
      <c r="K85" t="s">
        <v>19</v>
      </c>
      <c r="L85" t="s">
        <v>108</v>
      </c>
      <c r="M85" s="22">
        <v>295</v>
      </c>
      <c r="N85" s="22">
        <v>20939.600000000002</v>
      </c>
      <c r="P85" s="20" t="s">
        <v>19</v>
      </c>
      <c r="Q85" t="s">
        <v>108</v>
      </c>
      <c r="R85">
        <v>295</v>
      </c>
      <c r="T85" s="20" t="s">
        <v>19</v>
      </c>
      <c r="U85" t="s">
        <v>108</v>
      </c>
      <c r="V85">
        <v>20939.600000000002</v>
      </c>
    </row>
    <row r="86" spans="11:22" x14ac:dyDescent="0.35">
      <c r="K86" t="s">
        <v>19</v>
      </c>
      <c r="L86" t="s">
        <v>110</v>
      </c>
      <c r="M86" s="22">
        <v>195</v>
      </c>
      <c r="N86" s="22">
        <v>10185.899999999996</v>
      </c>
      <c r="P86" s="20" t="s">
        <v>19</v>
      </c>
      <c r="Q86" t="s">
        <v>110</v>
      </c>
      <c r="R86">
        <v>195</v>
      </c>
      <c r="T86" s="20" t="s">
        <v>19</v>
      </c>
      <c r="U86" t="s">
        <v>110</v>
      </c>
      <c r="V86">
        <v>10185.899999999996</v>
      </c>
    </row>
    <row r="87" spans="11:22" x14ac:dyDescent="0.35">
      <c r="K87" t="s">
        <v>19</v>
      </c>
      <c r="L87" t="s">
        <v>292</v>
      </c>
      <c r="M87" s="22">
        <v>20</v>
      </c>
      <c r="N87" s="22">
        <v>958.7</v>
      </c>
      <c r="P87" s="20" t="s">
        <v>19</v>
      </c>
      <c r="Q87" t="s">
        <v>292</v>
      </c>
      <c r="R87">
        <v>20</v>
      </c>
      <c r="T87" s="20" t="s">
        <v>19</v>
      </c>
      <c r="U87" t="s">
        <v>292</v>
      </c>
      <c r="V87">
        <v>958.7</v>
      </c>
    </row>
    <row r="88" spans="11:22" x14ac:dyDescent="0.35">
      <c r="K88" t="s">
        <v>19</v>
      </c>
      <c r="L88" t="s">
        <v>79</v>
      </c>
      <c r="M88" s="22">
        <v>6</v>
      </c>
      <c r="N88" s="22">
        <v>323</v>
      </c>
      <c r="P88" s="20" t="s">
        <v>19</v>
      </c>
      <c r="Q88" t="s">
        <v>79</v>
      </c>
      <c r="R88">
        <v>6</v>
      </c>
      <c r="T88" s="20" t="s">
        <v>19</v>
      </c>
      <c r="U88" t="s">
        <v>79</v>
      </c>
      <c r="V88">
        <v>323</v>
      </c>
    </row>
    <row r="89" spans="11:22" x14ac:dyDescent="0.35">
      <c r="K89" t="s">
        <v>19</v>
      </c>
      <c r="L89" t="s">
        <v>608</v>
      </c>
      <c r="M89" s="22">
        <v>5</v>
      </c>
      <c r="N89" s="22">
        <v>167.70000000000002</v>
      </c>
      <c r="P89" s="20" t="s">
        <v>19</v>
      </c>
      <c r="Q89" t="s">
        <v>608</v>
      </c>
      <c r="R89">
        <v>5</v>
      </c>
      <c r="T89" s="20" t="s">
        <v>19</v>
      </c>
      <c r="U89" t="s">
        <v>608</v>
      </c>
      <c r="V89">
        <v>167.70000000000002</v>
      </c>
    </row>
    <row r="90" spans="11:22" x14ac:dyDescent="0.35">
      <c r="K90" t="s">
        <v>19</v>
      </c>
      <c r="L90" t="s">
        <v>113</v>
      </c>
      <c r="M90" s="22">
        <v>94</v>
      </c>
      <c r="N90" s="22">
        <v>3978.5</v>
      </c>
      <c r="P90" s="20" t="s">
        <v>19</v>
      </c>
      <c r="Q90" t="s">
        <v>113</v>
      </c>
      <c r="R90">
        <v>94</v>
      </c>
      <c r="T90" s="20" t="s">
        <v>19</v>
      </c>
      <c r="U90" t="s">
        <v>113</v>
      </c>
      <c r="V90">
        <v>3978.5</v>
      </c>
    </row>
    <row r="91" spans="11:22" x14ac:dyDescent="0.35">
      <c r="K91" t="s">
        <v>19</v>
      </c>
      <c r="L91" t="s">
        <v>997</v>
      </c>
      <c r="M91" s="22">
        <v>28</v>
      </c>
      <c r="N91" s="22">
        <v>1405</v>
      </c>
      <c r="P91" s="20" t="s">
        <v>19</v>
      </c>
      <c r="Q91" t="s">
        <v>997</v>
      </c>
      <c r="R91">
        <v>28</v>
      </c>
      <c r="T91" s="20" t="s">
        <v>19</v>
      </c>
      <c r="U91" t="s">
        <v>997</v>
      </c>
      <c r="V91">
        <v>1405</v>
      </c>
    </row>
    <row r="92" spans="11:22" x14ac:dyDescent="0.35">
      <c r="K92" t="s">
        <v>19</v>
      </c>
      <c r="L92" t="s">
        <v>82</v>
      </c>
      <c r="M92" s="22">
        <v>179</v>
      </c>
      <c r="N92" s="22">
        <v>9869.0999999999985</v>
      </c>
      <c r="P92" s="20" t="s">
        <v>19</v>
      </c>
      <c r="Q92" t="s">
        <v>82</v>
      </c>
      <c r="R92">
        <v>179</v>
      </c>
      <c r="T92" s="20" t="s">
        <v>19</v>
      </c>
      <c r="U92" t="s">
        <v>82</v>
      </c>
      <c r="V92">
        <v>9869.0999999999985</v>
      </c>
    </row>
    <row r="93" spans="11:22" x14ac:dyDescent="0.35">
      <c r="K93" t="s">
        <v>19</v>
      </c>
      <c r="L93" t="s">
        <v>243</v>
      </c>
      <c r="M93" s="22">
        <v>15</v>
      </c>
      <c r="N93" s="22">
        <v>615.29999999999995</v>
      </c>
      <c r="P93" s="20" t="s">
        <v>19</v>
      </c>
      <c r="Q93" t="s">
        <v>243</v>
      </c>
      <c r="R93">
        <v>15</v>
      </c>
      <c r="T93" s="20" t="s">
        <v>19</v>
      </c>
      <c r="U93" t="s">
        <v>243</v>
      </c>
      <c r="V93">
        <v>615.29999999999995</v>
      </c>
    </row>
    <row r="94" spans="11:22" x14ac:dyDescent="0.35">
      <c r="K94" t="s">
        <v>19</v>
      </c>
      <c r="L94" t="s">
        <v>1911</v>
      </c>
      <c r="M94" s="22">
        <v>3</v>
      </c>
      <c r="N94" s="22">
        <v>285</v>
      </c>
      <c r="P94" s="21" t="s">
        <v>19</v>
      </c>
      <c r="Q94" t="s">
        <v>1911</v>
      </c>
      <c r="R94">
        <v>3</v>
      </c>
      <c r="T94" s="21" t="s">
        <v>19</v>
      </c>
      <c r="U94" t="s">
        <v>1911</v>
      </c>
      <c r="V94">
        <v>285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O2" sqref="O2:O2401"/>
    </sheetView>
  </sheetViews>
  <sheetFormatPr defaultRowHeight="14.5" x14ac:dyDescent="0.35"/>
  <cols>
    <col min="2" max="2" width="19.08984375" bestFit="1" customWidth="1"/>
    <col min="3" max="3" width="8.08984375" bestFit="1" customWidth="1"/>
    <col min="4" max="4" width="9.08984375" bestFit="1" customWidth="1"/>
    <col min="5" max="5" width="7.453125" bestFit="1" customWidth="1"/>
    <col min="6" max="6" width="10" bestFit="1" customWidth="1"/>
    <col min="7" max="7" width="9.453125" bestFit="1" customWidth="1"/>
    <col min="8" max="8" width="15.6328125" bestFit="1" customWidth="1"/>
    <col min="9" max="9" width="10.6328125" bestFit="1" customWidth="1"/>
    <col min="10" max="10" width="7.81640625" bestFit="1" customWidth="1"/>
    <col min="11" max="11" width="8.81640625" bestFit="1" customWidth="1"/>
    <col min="12" max="12" width="19.6328125" bestFit="1" customWidth="1"/>
    <col min="13" max="13" width="13.36328125" bestFit="1" customWidth="1"/>
    <col min="14" max="14" width="9.36328125" bestFit="1" customWidth="1"/>
    <col min="15" max="15" width="12.08984375" bestFit="1" customWidth="1"/>
  </cols>
  <sheetData>
    <row r="1" spans="1:15" x14ac:dyDescent="0.35">
      <c r="A1" s="4" t="s">
        <v>0</v>
      </c>
      <c r="B1" s="4" t="s">
        <v>1</v>
      </c>
      <c r="C1" s="4" t="s">
        <v>2</v>
      </c>
      <c r="D1" s="4" t="s">
        <v>3</v>
      </c>
      <c r="E1" s="4" t="s">
        <v>4</v>
      </c>
      <c r="F1" s="4" t="s">
        <v>5</v>
      </c>
      <c r="G1" s="4" t="s">
        <v>6</v>
      </c>
      <c r="H1" s="4" t="s">
        <v>7</v>
      </c>
      <c r="I1" s="4" t="s">
        <v>8</v>
      </c>
      <c r="J1" s="4" t="s">
        <v>9</v>
      </c>
      <c r="K1" s="4" t="s">
        <v>10</v>
      </c>
      <c r="L1" s="4" t="s">
        <v>11</v>
      </c>
      <c r="M1" s="2" t="s">
        <v>12</v>
      </c>
      <c r="N1" s="2" t="s">
        <v>13</v>
      </c>
      <c r="O1" s="2" t="s">
        <v>14</v>
      </c>
    </row>
    <row r="2" spans="1:15" x14ac:dyDescent="0.3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20" sqref="B20"/>
    </sheetView>
  </sheetViews>
  <sheetFormatPr defaultRowHeight="14.5" x14ac:dyDescent="0.35"/>
  <cols>
    <col min="1" max="1" width="3.6328125" customWidth="1"/>
    <col min="2" max="2" width="52.81640625" customWidth="1"/>
  </cols>
  <sheetData>
    <row r="2" spans="2:2" x14ac:dyDescent="0.35">
      <c r="B2" s="5" t="s">
        <v>2503</v>
      </c>
    </row>
    <row r="3" spans="2:2" x14ac:dyDescent="0.35">
      <c r="B3" s="3" t="s">
        <v>2504</v>
      </c>
    </row>
    <row r="4" spans="2:2" x14ac:dyDescent="0.35">
      <c r="B4" s="3" t="s">
        <v>2505</v>
      </c>
    </row>
    <row r="5" spans="2:2" x14ac:dyDescent="0.35">
      <c r="B5" s="3" t="s">
        <v>2506</v>
      </c>
    </row>
    <row r="6" spans="2:2" x14ac:dyDescent="0.35">
      <c r="B6" s="3" t="s">
        <v>2507</v>
      </c>
    </row>
    <row r="7" spans="2:2" x14ac:dyDescent="0.35">
      <c r="B7" s="3" t="s">
        <v>2508</v>
      </c>
    </row>
    <row r="10" spans="2:2" x14ac:dyDescent="0.35">
      <c r="B10" s="5" t="s">
        <v>2509</v>
      </c>
    </row>
    <row r="11" spans="2:2" x14ac:dyDescent="0.35">
      <c r="B11" t="s">
        <v>2510</v>
      </c>
    </row>
    <row r="12" spans="2:2" x14ac:dyDescent="0.35">
      <c r="B12" t="s">
        <v>2511</v>
      </c>
    </row>
    <row r="13" spans="2:2" x14ac:dyDescent="0.35">
      <c r="B13" t="s">
        <v>2512</v>
      </c>
    </row>
    <row r="14" spans="2:2" x14ac:dyDescent="0.35">
      <c r="B14" t="s">
        <v>2546</v>
      </c>
    </row>
    <row r="15" spans="2:2" x14ac:dyDescent="0.35">
      <c r="B15" t="s">
        <v>2513</v>
      </c>
    </row>
    <row r="16" spans="2:2" x14ac:dyDescent="0.35">
      <c r="B16" t="s">
        <v>2514</v>
      </c>
    </row>
    <row r="17" spans="2:2" x14ac:dyDescent="0.35">
      <c r="B17" t="s">
        <v>2515</v>
      </c>
    </row>
    <row r="18" spans="2:2" x14ac:dyDescent="0.35">
      <c r="B18" t="s">
        <v>2516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Gender Matrix</vt:lpstr>
      <vt:lpstr>Pivots</vt:lpstr>
      <vt:lpstr>Data</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Taraka Ratna</cp:lastModifiedBy>
  <dcterms:created xsi:type="dcterms:W3CDTF">2025-06-13T02:42:26Z</dcterms:created>
  <dcterms:modified xsi:type="dcterms:W3CDTF">2026-01-25T11:34:44Z</dcterms:modified>
</cp:coreProperties>
</file>